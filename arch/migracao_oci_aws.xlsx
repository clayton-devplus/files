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layton.oliveira\source\repos\files\arch\"/>
    </mc:Choice>
  </mc:AlternateContent>
  <xr:revisionPtr revIDLastSave="0" documentId="13_ncr:1_{B443FC2D-FC1B-483F-B7FF-22483B7DA9D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mparativo Mensal" sheetId="2" r:id="rId1"/>
    <sheet name="Quick Wins" sheetId="3" r:id="rId2"/>
    <sheet name="Custos de Migraçã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OY+PlYefFxSZh5wEfjGYXxwc0wU6TXlfUUEWxe7IB4="/>
    </ext>
  </extLst>
</workbook>
</file>

<file path=xl/calcChain.xml><?xml version="1.0" encoding="utf-8"?>
<calcChain xmlns="http://schemas.openxmlformats.org/spreadsheetml/2006/main">
  <c r="E5" i="4" l="1"/>
  <c r="E6" i="4"/>
  <c r="E7" i="4"/>
  <c r="E8" i="4"/>
  <c r="E9" i="4"/>
  <c r="E10" i="4"/>
  <c r="E11" i="4"/>
  <c r="E12" i="4"/>
  <c r="E13" i="4"/>
  <c r="E14" i="4"/>
  <c r="E15" i="4"/>
  <c r="E4" i="4"/>
  <c r="D16" i="4"/>
  <c r="E51" i="2"/>
  <c r="D51" i="2"/>
  <c r="C51" i="2"/>
  <c r="F50" i="2"/>
  <c r="E50" i="2"/>
  <c r="F49" i="2"/>
  <c r="E49" i="2"/>
  <c r="F48" i="2"/>
  <c r="E48" i="2"/>
  <c r="F47" i="2"/>
  <c r="E47" i="2"/>
  <c r="D45" i="2"/>
  <c r="C45" i="2"/>
  <c r="F44" i="2"/>
  <c r="E44" i="2"/>
  <c r="F43" i="2"/>
  <c r="E43" i="2"/>
  <c r="F42" i="2"/>
  <c r="E42" i="2"/>
  <c r="F41" i="2"/>
  <c r="E41" i="2"/>
  <c r="F40" i="2"/>
  <c r="E40" i="2"/>
  <c r="F39" i="2"/>
  <c r="E39" i="2"/>
  <c r="D37" i="2"/>
  <c r="C37" i="2"/>
  <c r="F36" i="2"/>
  <c r="E36" i="2"/>
  <c r="F35" i="2"/>
  <c r="E35" i="2"/>
  <c r="F34" i="2"/>
  <c r="E34" i="2"/>
  <c r="F33" i="2"/>
  <c r="E33" i="2"/>
  <c r="F32" i="2"/>
  <c r="E32" i="2"/>
  <c r="F31" i="2"/>
  <c r="E31" i="2"/>
  <c r="F30" i="2"/>
  <c r="E30" i="2"/>
  <c r="D28" i="2"/>
  <c r="C28" i="2"/>
  <c r="F27" i="2"/>
  <c r="E27" i="2"/>
  <c r="F26" i="2"/>
  <c r="E26" i="2"/>
  <c r="F25" i="2"/>
  <c r="E25" i="2"/>
  <c r="F24" i="2"/>
  <c r="E24" i="2"/>
  <c r="F23" i="2"/>
  <c r="E23" i="2"/>
  <c r="D21" i="2"/>
  <c r="C21" i="2"/>
  <c r="F20" i="2"/>
  <c r="E20" i="2"/>
  <c r="F19" i="2"/>
  <c r="E19" i="2"/>
  <c r="F18" i="2"/>
  <c r="E18" i="2"/>
  <c r="E16" i="2"/>
  <c r="D16" i="2"/>
  <c r="C16" i="2"/>
  <c r="F15" i="2"/>
  <c r="E15" i="2"/>
  <c r="F14" i="2"/>
  <c r="E14" i="2"/>
  <c r="F13" i="2"/>
  <c r="E13" i="2"/>
  <c r="F12" i="2"/>
  <c r="E12" i="2"/>
  <c r="D10" i="2"/>
  <c r="C10" i="2"/>
  <c r="F9" i="2"/>
  <c r="E9" i="2"/>
  <c r="F8" i="2"/>
  <c r="E8" i="2"/>
  <c r="F7" i="2"/>
  <c r="E7" i="2"/>
  <c r="F6" i="2"/>
  <c r="E6" i="2"/>
  <c r="E37" i="2" l="1"/>
  <c r="E10" i="2"/>
  <c r="D53" i="2"/>
  <c r="C53" i="2"/>
  <c r="F51" i="2"/>
  <c r="F45" i="2"/>
  <c r="E45" i="2"/>
  <c r="F10" i="2"/>
  <c r="F37" i="2"/>
  <c r="F28" i="2"/>
  <c r="E28" i="2"/>
  <c r="F21" i="2"/>
  <c r="E21" i="2"/>
  <c r="F16" i="2"/>
  <c r="E16" i="4" l="1"/>
  <c r="C57" i="2"/>
  <c r="F53" i="2"/>
  <c r="C56" i="2"/>
  <c r="E53" i="2"/>
  <c r="C19" i="4" l="1"/>
  <c r="C58" i="2"/>
  <c r="C21" i="4" l="1"/>
  <c r="C20" i="4"/>
</calcChain>
</file>

<file path=xl/sharedStrings.xml><?xml version="1.0" encoding="utf-8"?>
<sst xmlns="http://schemas.openxmlformats.org/spreadsheetml/2006/main" count="139" uniqueCount="139">
  <si>
    <t>Economia Mensal</t>
  </si>
  <si>
    <t>Payback</t>
  </si>
  <si>
    <t>ROI 1º Ano</t>
  </si>
  <si>
    <t>Migração OCI → AWS — Comparativo de Custos Mensal</t>
  </si>
  <si>
    <t>Recurso / Serviço</t>
  </si>
  <si>
    <t>OCI (Atual)</t>
  </si>
  <si>
    <t>AWS (Novo)</t>
  </si>
  <si>
    <t>Economia (R$)</t>
  </si>
  <si>
    <t>Redução (%)</t>
  </si>
  <si>
    <t>Observações</t>
  </si>
  <si>
    <t>Compute &amp; Runtime</t>
  </si>
  <si>
    <t>VMs Windows c/ IIS (apps .NET)</t>
  </si>
  <si>
    <t>Migram para EKS (eliminadas)</t>
  </si>
  <si>
    <t>Licenciamento Windows Server (VMs app)</t>
  </si>
  <si>
    <t>Containers Linux = sem licença Windows</t>
  </si>
  <si>
    <t>EKS (Kubernetes gerenciado)</t>
  </si>
  <si>
    <t>Cluster EKS Autopilot / managed node groups</t>
  </si>
  <si>
    <t>EC2 Spot / Reserved (nodes EKS)</t>
  </si>
  <si>
    <t>Nodes Linux otimizados (Graviton ARM)</t>
  </si>
  <si>
    <t>Subtotal Compute &amp; Runtime</t>
  </si>
  <si>
    <t>Banco de Dados</t>
  </si>
  <si>
    <t>Oracle Database (OCI)</t>
  </si>
  <si>
    <t>Migração para MySQL/Aurora na AWS</t>
  </si>
  <si>
    <t>MySQL (OCI — destino sync)</t>
  </si>
  <si>
    <t>Consolidado na AWS</t>
  </si>
  <si>
    <t>Amazon Aurora MySQL</t>
  </si>
  <si>
    <t>Substitui Oracle + MySQL OCI</t>
  </si>
  <si>
    <t>Amazon ElastiCache (Redis)</t>
  </si>
  <si>
    <t>Cache de sessão e aplicação</t>
  </si>
  <si>
    <t>Subtotal Banco de Dados</t>
  </si>
  <si>
    <t>Mensageria &amp; Filas</t>
  </si>
  <si>
    <t>SQS/SNS</t>
  </si>
  <si>
    <t>Substituído por RabbitMQ no EKS</t>
  </si>
  <si>
    <t>RabbitMQ (self-hosted no EKS)</t>
  </si>
  <si>
    <t>Open-source, roda como pod no cluster</t>
  </si>
  <si>
    <t>Recursos do pod RabbitMQ (CPU/RAM)</t>
  </si>
  <si>
    <t>Incluso nos nodes, custo marginal</t>
  </si>
  <si>
    <t>Subtotal Mensageria &amp; Filas</t>
  </si>
  <si>
    <t>Storage &amp; CDN</t>
  </si>
  <si>
    <t>OCI Object Storage</t>
  </si>
  <si>
    <t>Amazon S3</t>
  </si>
  <si>
    <t>Migração de buckets</t>
  </si>
  <si>
    <t>CloudFront (CDN)</t>
  </si>
  <si>
    <t>CDN para assets estáticos</t>
  </si>
  <si>
    <t>OCI Load Balancer</t>
  </si>
  <si>
    <t>AWS ALB (Application Load Balancer)</t>
  </si>
  <si>
    <t>Integrado com EKS Ingress (Já implementado)</t>
  </si>
  <si>
    <t>Subtotal Storage &amp; CDN</t>
  </si>
  <si>
    <t>Rede &amp; Segurança</t>
  </si>
  <si>
    <t>Egress / Tráfego de rede (OCI)</t>
  </si>
  <si>
    <t>Egress / Tráfego de rede (AWS)</t>
  </si>
  <si>
    <t>AWS egress tipicamente mais caro</t>
  </si>
  <si>
    <t>VPN / Interconexão OCI</t>
  </si>
  <si>
    <t>AWS VPC / NAT Gateway</t>
  </si>
  <si>
    <t>DNS (Route 53)</t>
  </si>
  <si>
    <t>WAF (AWS WAF)</t>
  </si>
  <si>
    <t>Proteção de API</t>
  </si>
  <si>
    <t>ACM (Certificados SSL)</t>
  </si>
  <si>
    <t>Gratuito na AWS</t>
  </si>
  <si>
    <t>Subtotal Rede &amp; Segurança</t>
  </si>
  <si>
    <t>DevOps &amp; Observabilidade</t>
  </si>
  <si>
    <t>CI/CD Jenkins</t>
  </si>
  <si>
    <t>Bitbucket Pipelines (CI/CD)</t>
  </si>
  <si>
    <t>Reuso de pipelines existentes</t>
  </si>
  <si>
    <t>Monitoring OCI</t>
  </si>
  <si>
    <t>Amazon CloudWatch + Grafana</t>
  </si>
  <si>
    <t>Logs, métricas, alertas</t>
  </si>
  <si>
    <t>ECR (Container Registry)</t>
  </si>
  <si>
    <t>Registry de imagens Docker</t>
  </si>
  <si>
    <t>AWS Secrets Manager</t>
  </si>
  <si>
    <t>Subtotal DevOps &amp; Observabilidade</t>
  </si>
  <si>
    <t>Custos Operacionais Eliminados (Quick Wins)</t>
  </si>
  <si>
    <t>Manutenção/Patching VMs Windows</t>
  </si>
  <si>
    <t>Sem Windows = sem patching de OS</t>
  </si>
  <si>
    <t>Horas de suporte infra Windows (estimado)</t>
  </si>
  <si>
    <t>Ops reduzido com K8s gerenciado</t>
  </si>
  <si>
    <t>Monitoramento dos Workers de sync</t>
  </si>
  <si>
    <t>Workers eliminados</t>
  </si>
  <si>
    <t>Licença antivírus/EDR (VMs Windows)</t>
  </si>
  <si>
    <t>Containers Linux não requerem</t>
  </si>
  <si>
    <t>Subtotal Custos Operacionais Eliminados</t>
  </si>
  <si>
    <t>TOTAL MENSAL</t>
  </si>
  <si>
    <t>Projeção Anual</t>
  </si>
  <si>
    <t>Custo Anual OCI (Atual)</t>
  </si>
  <si>
    <t>Custo Anual AWS (Novo)</t>
  </si>
  <si>
    <t>Economia Anual Total</t>
  </si>
  <si>
    <t>Quick Wins — Ganhos Imediatos com a Migração OCI → AWS</t>
  </si>
  <si>
    <t>Quick Win</t>
  </si>
  <si>
    <t>Justificativa / Impacto</t>
  </si>
  <si>
    <t>Eliminação de VMs Windows (IIS)</t>
  </si>
  <si>
    <t>Apps .NET migram para containers Linux no EKS. Zero custo de VM, zero licenciamento Windows Server.</t>
  </si>
  <si>
    <t>Eliminação de licenças Windows Server</t>
  </si>
  <si>
    <t>VMs de app + workers usavam Windows Server. Containers Linux eliminam 100% desse custo.</t>
  </si>
  <si>
    <t>Eliminação dos Workers de Sincronização</t>
  </si>
  <si>
    <t>Dados consolidados na AWS (Aurora). Sem necessidade de sync Oracle↔MySQL, workers desligados.</t>
  </si>
  <si>
    <t>Redução de Oracle Database → Aurora MySQL</t>
  </si>
  <si>
    <t>Oracle DB na OCI para diminuição do monolito que temos hoje</t>
  </si>
  <si>
    <t>RabbitMQ (open-source) no lugar de SQS/SNS</t>
  </si>
  <si>
    <t>RabbitMQ roda como pod no EKS (custo marginal de ~R$ 180). Substitui serviço gerenciado (R$ 450).</t>
  </si>
  <si>
    <t>Eliminação de manutenção Windows</t>
  </si>
  <si>
    <t>Sem patching de OS Windows, sem atualizações de IIS, sem reinicializações programadas.</t>
  </si>
  <si>
    <t>Redução de horas de suporte operacional</t>
  </si>
  <si>
    <t>K8s gerenciado + containers = menos tickets de infra, deploys self-healing.</t>
  </si>
  <si>
    <t>Eliminação de antivírus/EDR em VMs</t>
  </si>
  <si>
    <t>Containers Linux efêmeros não requerem agentes de segurança de endpoint.</t>
  </si>
  <si>
    <t>Eliminação de monitoramento de workers</t>
  </si>
  <si>
    <t>Workers eliminados = dashboards, alertas e runbooks de sync descontinuados.</t>
  </si>
  <si>
    <t>Fase / Item</t>
  </si>
  <si>
    <t>Horas</t>
  </si>
  <si>
    <t>Custo Total</t>
  </si>
  <si>
    <t>Detalhamento</t>
  </si>
  <si>
    <t>Discovery &amp; Assessment</t>
  </si>
  <si>
    <t>Levantamento de workloads OCI, dependências, sizing AWS</t>
  </si>
  <si>
    <t>Containerização das apps .NET (IIS → Docker)</t>
  </si>
  <si>
    <t>Dockerfile, health checks, remoção deps IIS, testes</t>
  </si>
  <si>
    <t>Setup EKS + Networking (VPC, ALB, NAT)</t>
  </si>
  <si>
    <t>Cluster EKS, node groups, Helm charts, Ingress</t>
  </si>
  <si>
    <t>Migração Oracle → Aurora MySQL</t>
  </si>
  <si>
    <t>Schema conversion (SCT), DMS, validação de dados</t>
  </si>
  <si>
    <t>Setup RabbitMQ no EKS</t>
  </si>
  <si>
    <t>Helm chart, exchanges, filas, políticas de HA</t>
  </si>
  <si>
    <t>Migração de Storage (OCI → S3)</t>
  </si>
  <si>
    <t>Buckets, permissões IAM, lifecycle policies</t>
  </si>
  <si>
    <t>Reconfiguração CI/CD (GitHub Actions)</t>
  </si>
  <si>
    <t>Pipelines, ECR push, deploy EKS, secrets</t>
  </si>
  <si>
    <t>DNS, SSL e cutover de tráfego</t>
  </si>
  <si>
    <t>Route 53, ACM, blue-green ou canary deploy</t>
  </si>
  <si>
    <t>Descomissionamento dos Workers de sync</t>
  </si>
  <si>
    <t>Validação de dados, shutdown, cleanup OCI</t>
  </si>
  <si>
    <t>Testes de carga e validação</t>
  </si>
  <si>
    <t>Smoke tests, stress test, rollback plan</t>
  </si>
  <si>
    <t>Treinamento da equipe (AWS/EKS)</t>
  </si>
  <si>
    <t>Workshops K8s, kubectl, CloudWatch, runbooks</t>
  </si>
  <si>
    <t>Contingência (15%)</t>
  </si>
  <si>
    <t>Buffer para imprevistos da migração</t>
  </si>
  <si>
    <t>TOTAL MIGRAÇÃO</t>
  </si>
  <si>
    <t>Payback da Migração</t>
  </si>
  <si>
    <t>Custos de Migração OCI → AWS</t>
  </si>
  <si>
    <t>Valor Hora(R$)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</si>
</sst>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 &quot;#,##0.00;&quot;(R$ &quot;#,##0.00\);\-"/>
    <numFmt numFmtId="165" formatCode="0.0%"/>
    <numFmt numFmtId="166" formatCode="0&quot; meses&quot;"/>
  </numFmts>
  <fonts count="17" x14ac:knownFonts="1">
    <font>
      <sz val="11"/>
      <color theme="1"/>
      <name val="Calibri"/>
      <scheme val="minor"/>
    </font>
    <font>
      <b/>
      <sz val="14"/>
      <color rgb="FF1F4E79"/>
      <name val="Arial"/>
    </font>
    <font>
      <i/>
      <sz val="9"/>
      <color rgb="FF808080"/>
      <name val="Arial"/>
    </font>
    <font>
      <b/>
      <sz val="10"/>
      <color theme="1"/>
      <name val="Arial"/>
    </font>
    <font>
      <b/>
      <sz val="12"/>
      <color rgb="FF1F4E79"/>
      <name val="Arial"/>
    </font>
    <font>
      <b/>
      <sz val="12"/>
      <color rgb="FF006100"/>
      <name val="Arial"/>
    </font>
    <font>
      <b/>
      <sz val="14"/>
      <color rgb="FF006100"/>
      <name val="Arial"/>
    </font>
    <font>
      <sz val="10"/>
      <color theme="1"/>
      <name val="Arial"/>
    </font>
    <font>
      <b/>
      <sz val="11"/>
      <color rgb="FFFFFFFF"/>
      <name val="Arial"/>
    </font>
    <font>
      <sz val="11"/>
      <color theme="1"/>
      <name val="Calibri"/>
    </font>
    <font>
      <sz val="11"/>
      <name val="Calibri"/>
    </font>
    <font>
      <sz val="10"/>
      <color rgb="FF0000FF"/>
      <name val="Arial"/>
    </font>
    <font>
      <sz val="9"/>
      <color rgb="FF666666"/>
      <name val="Arial"/>
    </font>
    <font>
      <b/>
      <sz val="12"/>
      <color rgb="FFFFFFFF"/>
      <name val="Arial"/>
    </font>
    <font>
      <b/>
      <sz val="12"/>
      <color theme="1"/>
      <name val="Arial"/>
    </font>
    <font>
      <b/>
      <sz val="16"/>
      <color rgb="FF1F4E79"/>
      <name val="Arial"/>
    </font>
    <font>
      <b/>
      <sz val="16"/>
      <color rgb="FF0061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CE4EC"/>
        <bgColor rgb="FFFCE4EC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6E4F0"/>
        <bgColor rgb="FFD6E4F0"/>
      </patternFill>
    </fill>
    <fill>
      <patternFill patternType="solid">
        <fgColor rgb="FF0D3B66"/>
        <bgColor rgb="FF0D3B66"/>
      </patternFill>
    </fill>
    <fill>
      <patternFill patternType="solid">
        <fgColor rgb="FF006100"/>
        <bgColor rgb="FF006100"/>
      </patternFill>
    </fill>
  </fills>
  <borders count="6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/>
      <top style="thin">
        <color rgb="FFB4B4B4"/>
      </top>
      <bottom style="thin">
        <color rgb="FFB4B4B4"/>
      </bottom>
      <diagonal/>
    </border>
    <border>
      <left/>
      <right/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medium">
        <color rgb="FF1F4E79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8" fillId="3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0" fontId="7" fillId="5" borderId="1" xfId="0" applyFont="1" applyFill="1" applyBorder="1" applyAlignment="1">
      <alignment horizontal="left" vertical="center" wrapText="1"/>
    </xf>
    <xf numFmtId="164" fontId="11" fillId="6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9" fillId="0" borderId="5" xfId="0" applyFont="1" applyBorder="1"/>
    <xf numFmtId="0" fontId="3" fillId="8" borderId="5" xfId="0" applyFont="1" applyFill="1" applyBorder="1" applyAlignment="1">
      <alignment horizontal="left" vertical="center" wrapText="1"/>
    </xf>
    <xf numFmtId="164" fontId="3" fillId="8" borderId="5" xfId="0" applyNumberFormat="1" applyFont="1" applyFill="1" applyBorder="1" applyAlignment="1">
      <alignment horizontal="center" vertical="center" wrapText="1"/>
    </xf>
    <xf numFmtId="165" fontId="3" fillId="8" borderId="5" xfId="0" applyNumberFormat="1" applyFont="1" applyFill="1" applyBorder="1" applyAlignment="1">
      <alignment horizontal="center" vertical="center" wrapText="1"/>
    </xf>
    <xf numFmtId="0" fontId="9" fillId="8" borderId="5" xfId="0" applyFont="1" applyFill="1" applyBorder="1"/>
    <xf numFmtId="0" fontId="7" fillId="0" borderId="1" xfId="0" applyFont="1" applyBorder="1" applyAlignment="1">
      <alignment horizontal="left" vertical="center" wrapText="1"/>
    </xf>
    <xf numFmtId="0" fontId="9" fillId="9" borderId="1" xfId="0" applyFont="1" applyFill="1" applyBorder="1"/>
    <xf numFmtId="0" fontId="13" fillId="9" borderId="1" xfId="0" applyFont="1" applyFill="1" applyBorder="1" applyAlignment="1">
      <alignment horizontal="left" vertical="center" wrapText="1"/>
    </xf>
    <xf numFmtId="164" fontId="13" fillId="9" borderId="1" xfId="0" applyNumberFormat="1" applyFont="1" applyFill="1" applyBorder="1" applyAlignment="1">
      <alignment horizontal="center" vertical="center" wrapText="1"/>
    </xf>
    <xf numFmtId="165" fontId="13" fillId="9" borderId="1" xfId="0" applyNumberFormat="1" applyFont="1" applyFill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3" fontId="11" fillId="6" borderId="1" xfId="0" applyNumberFormat="1" applyFont="1" applyFill="1" applyBorder="1" applyAlignment="1">
      <alignment horizontal="center" vertical="center" wrapText="1"/>
    </xf>
    <xf numFmtId="3" fontId="13" fillId="9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66" fontId="15" fillId="0" borderId="1" xfId="0" applyNumberFormat="1" applyFont="1" applyBorder="1" applyAlignment="1">
      <alignment horizontal="center" vertical="center" wrapText="1"/>
    </xf>
    <xf numFmtId="165" fontId="16" fillId="2" borderId="1" xfId="0" applyNumberFormat="1" applyFont="1" applyFill="1" applyBorder="1" applyAlignment="1">
      <alignment horizontal="center" vertical="center" wrapText="1"/>
    </xf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8" fillId="4" borderId="2" xfId="0" applyFont="1" applyFill="1" applyBorder="1" applyAlignment="1">
      <alignment horizontal="left" vertical="center" wrapText="1"/>
    </xf>
    <xf numFmtId="0" fontId="10" fillId="0" borderId="3" xfId="0" applyFont="1" applyBorder="1"/>
    <xf numFmtId="0" fontId="10" fillId="0" borderId="4" xfId="0" applyFont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G998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9" sqref="D9"/>
    </sheetView>
  </sheetViews>
  <sheetFormatPr defaultColWidth="14.453125" defaultRowHeight="15" customHeight="1" x14ac:dyDescent="0.35"/>
  <cols>
    <col min="1" max="1" width="4" customWidth="1"/>
    <col min="2" max="2" width="42" customWidth="1"/>
    <col min="3" max="5" width="18" customWidth="1"/>
    <col min="6" max="6" width="14" customWidth="1"/>
    <col min="7" max="7" width="50.453125" customWidth="1"/>
    <col min="8" max="26" width="8.7265625" customWidth="1"/>
  </cols>
  <sheetData>
    <row r="1" spans="1:7" ht="18" x14ac:dyDescent="0.4">
      <c r="B1" s="31" t="s">
        <v>3</v>
      </c>
      <c r="C1" s="30"/>
      <c r="D1" s="30"/>
      <c r="E1" s="30"/>
      <c r="F1" s="30"/>
      <c r="G1" s="30"/>
    </row>
    <row r="2" spans="1:7" ht="14.5" x14ac:dyDescent="0.35">
      <c r="B2" s="32"/>
      <c r="C2" s="30"/>
      <c r="D2" s="30"/>
      <c r="E2" s="30"/>
      <c r="F2" s="30"/>
      <c r="G2" s="30"/>
    </row>
    <row r="4" spans="1:7" ht="14.5" x14ac:dyDescent="0.35">
      <c r="A4" s="4"/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</row>
    <row r="5" spans="1:7" ht="15" customHeight="1" x14ac:dyDescent="0.35">
      <c r="A5" s="5"/>
      <c r="B5" s="34" t="s">
        <v>10</v>
      </c>
      <c r="C5" s="35"/>
      <c r="D5" s="35"/>
      <c r="E5" s="35"/>
      <c r="F5" s="35"/>
      <c r="G5" s="36"/>
    </row>
    <row r="6" spans="1:7" ht="14.5" x14ac:dyDescent="0.35">
      <c r="A6" s="5"/>
      <c r="B6" s="6" t="s">
        <v>11</v>
      </c>
      <c r="C6" s="7">
        <v>18000</v>
      </c>
      <c r="D6" s="7">
        <v>0</v>
      </c>
      <c r="E6" s="8">
        <f t="shared" ref="E6:E9" si="0">C6-D6</f>
        <v>18000</v>
      </c>
      <c r="F6" s="9">
        <f t="shared" ref="F6:F10" si="1">IF(C6=0,0,(C6-D6)/C6)</f>
        <v>1</v>
      </c>
      <c r="G6" s="10" t="s">
        <v>12</v>
      </c>
    </row>
    <row r="7" spans="1:7" ht="14.5" x14ac:dyDescent="0.35">
      <c r="A7" s="5"/>
      <c r="B7" s="6" t="s">
        <v>13</v>
      </c>
      <c r="C7" s="7">
        <v>4200</v>
      </c>
      <c r="D7" s="7">
        <v>0</v>
      </c>
      <c r="E7" s="8">
        <f t="shared" si="0"/>
        <v>4200</v>
      </c>
      <c r="F7" s="9">
        <f t="shared" si="1"/>
        <v>1</v>
      </c>
      <c r="G7" s="10" t="s">
        <v>14</v>
      </c>
    </row>
    <row r="8" spans="1:7" ht="14.5" x14ac:dyDescent="0.35">
      <c r="A8" s="5"/>
      <c r="B8" s="11" t="s">
        <v>15</v>
      </c>
      <c r="C8" s="7">
        <v>0</v>
      </c>
      <c r="D8" s="7">
        <v>1900</v>
      </c>
      <c r="E8" s="8">
        <f t="shared" si="0"/>
        <v>-1900</v>
      </c>
      <c r="F8" s="9">
        <f t="shared" si="1"/>
        <v>0</v>
      </c>
      <c r="G8" s="10" t="s">
        <v>16</v>
      </c>
    </row>
    <row r="9" spans="1:7" ht="14.5" x14ac:dyDescent="0.35">
      <c r="A9" s="5"/>
      <c r="B9" s="11" t="s">
        <v>17</v>
      </c>
      <c r="C9" s="7">
        <v>0</v>
      </c>
      <c r="D9" s="7">
        <v>800</v>
      </c>
      <c r="E9" s="8">
        <f t="shared" si="0"/>
        <v>-800</v>
      </c>
      <c r="F9" s="9">
        <f t="shared" si="1"/>
        <v>0</v>
      </c>
      <c r="G9" s="10" t="s">
        <v>18</v>
      </c>
    </row>
    <row r="10" spans="1:7" ht="14.5" x14ac:dyDescent="0.35">
      <c r="A10" s="12"/>
      <c r="B10" s="13" t="s">
        <v>19</v>
      </c>
      <c r="C10" s="14">
        <f t="shared" ref="C10:E10" si="2">SUM(C6:C9)</f>
        <v>22200</v>
      </c>
      <c r="D10" s="14">
        <f t="shared" si="2"/>
        <v>2700</v>
      </c>
      <c r="E10" s="14">
        <f t="shared" si="2"/>
        <v>19500</v>
      </c>
      <c r="F10" s="15">
        <f t="shared" si="1"/>
        <v>0.8783783783783784</v>
      </c>
      <c r="G10" s="16"/>
    </row>
    <row r="11" spans="1:7" ht="15" customHeight="1" x14ac:dyDescent="0.35">
      <c r="A11" s="5"/>
      <c r="B11" s="34" t="s">
        <v>20</v>
      </c>
      <c r="C11" s="35"/>
      <c r="D11" s="35"/>
      <c r="E11" s="35"/>
      <c r="F11" s="35"/>
      <c r="G11" s="36"/>
    </row>
    <row r="12" spans="1:7" ht="14.5" x14ac:dyDescent="0.35">
      <c r="A12" s="5"/>
      <c r="B12" s="6" t="s">
        <v>21</v>
      </c>
      <c r="C12" s="7">
        <v>0</v>
      </c>
      <c r="D12" s="7">
        <v>0</v>
      </c>
      <c r="E12" s="8">
        <f t="shared" ref="E12:E15" si="3">C12-D12</f>
        <v>0</v>
      </c>
      <c r="F12" s="9">
        <f t="shared" ref="F12:F16" si="4">IF(C12=0,0,(C12-D12)/C12)</f>
        <v>0</v>
      </c>
      <c r="G12" s="10" t="s">
        <v>22</v>
      </c>
    </row>
    <row r="13" spans="1:7" ht="14.5" x14ac:dyDescent="0.35">
      <c r="A13" s="5"/>
      <c r="B13" s="6" t="s">
        <v>23</v>
      </c>
      <c r="C13" s="7">
        <v>1200</v>
      </c>
      <c r="D13" s="7">
        <v>0</v>
      </c>
      <c r="E13" s="8">
        <f t="shared" si="3"/>
        <v>1200</v>
      </c>
      <c r="F13" s="9">
        <f t="shared" si="4"/>
        <v>1</v>
      </c>
      <c r="G13" s="10" t="s">
        <v>24</v>
      </c>
    </row>
    <row r="14" spans="1:7" ht="14.5" x14ac:dyDescent="0.35">
      <c r="A14" s="5"/>
      <c r="B14" s="11" t="s">
        <v>25</v>
      </c>
      <c r="C14" s="7">
        <v>0</v>
      </c>
      <c r="D14" s="7">
        <v>1800</v>
      </c>
      <c r="E14" s="8">
        <f t="shared" si="3"/>
        <v>-1800</v>
      </c>
      <c r="F14" s="9">
        <f t="shared" si="4"/>
        <v>0</v>
      </c>
      <c r="G14" s="10" t="s">
        <v>26</v>
      </c>
    </row>
    <row r="15" spans="1:7" ht="14.5" x14ac:dyDescent="0.35">
      <c r="A15" s="5"/>
      <c r="B15" s="17" t="s">
        <v>27</v>
      </c>
      <c r="C15" s="7">
        <v>0</v>
      </c>
      <c r="D15" s="7">
        <v>650</v>
      </c>
      <c r="E15" s="8">
        <f t="shared" si="3"/>
        <v>-650</v>
      </c>
      <c r="F15" s="9">
        <f t="shared" si="4"/>
        <v>0</v>
      </c>
      <c r="G15" s="10" t="s">
        <v>28</v>
      </c>
    </row>
    <row r="16" spans="1:7" ht="14.5" x14ac:dyDescent="0.35">
      <c r="A16" s="12"/>
      <c r="B16" s="13" t="s">
        <v>29</v>
      </c>
      <c r="C16" s="14">
        <f t="shared" ref="C16:E16" si="5">SUM(C12:C15)</f>
        <v>1200</v>
      </c>
      <c r="D16" s="14">
        <f t="shared" si="5"/>
        <v>2450</v>
      </c>
      <c r="E16" s="14">
        <f t="shared" si="5"/>
        <v>-1250</v>
      </c>
      <c r="F16" s="15">
        <f t="shared" si="4"/>
        <v>-1.0416666666666667</v>
      </c>
      <c r="G16" s="16"/>
    </row>
    <row r="17" spans="1:7" ht="15" customHeight="1" x14ac:dyDescent="0.35">
      <c r="A17" s="5"/>
      <c r="B17" s="34" t="s">
        <v>30</v>
      </c>
      <c r="C17" s="35"/>
      <c r="D17" s="35"/>
      <c r="E17" s="35"/>
      <c r="F17" s="35"/>
      <c r="G17" s="36"/>
    </row>
    <row r="18" spans="1:7" ht="14.5" x14ac:dyDescent="0.35">
      <c r="A18" s="5"/>
      <c r="B18" s="6" t="s">
        <v>31</v>
      </c>
      <c r="C18" s="7">
        <v>3000</v>
      </c>
      <c r="D18" s="7">
        <v>0</v>
      </c>
      <c r="E18" s="8">
        <f t="shared" ref="E18:E20" si="6">C18-D18</f>
        <v>3000</v>
      </c>
      <c r="F18" s="9">
        <f t="shared" ref="F18:F21" si="7">IF(C18=0,0,(C18-D18)/C18)</f>
        <v>1</v>
      </c>
      <c r="G18" s="10" t="s">
        <v>32</v>
      </c>
    </row>
    <row r="19" spans="1:7" ht="15.75" customHeight="1" x14ac:dyDescent="0.35">
      <c r="A19" s="5"/>
      <c r="B19" s="11" t="s">
        <v>33</v>
      </c>
      <c r="C19" s="7">
        <v>0</v>
      </c>
      <c r="D19" s="7">
        <v>0</v>
      </c>
      <c r="E19" s="8">
        <f t="shared" si="6"/>
        <v>0</v>
      </c>
      <c r="F19" s="9">
        <f t="shared" si="7"/>
        <v>0</v>
      </c>
      <c r="G19" s="10" t="s">
        <v>34</v>
      </c>
    </row>
    <row r="20" spans="1:7" ht="15.75" customHeight="1" x14ac:dyDescent="0.35">
      <c r="A20" s="5"/>
      <c r="B20" s="17" t="s">
        <v>35</v>
      </c>
      <c r="C20" s="7">
        <v>0</v>
      </c>
      <c r="D20" s="7">
        <v>1600</v>
      </c>
      <c r="E20" s="8">
        <f t="shared" si="6"/>
        <v>-1600</v>
      </c>
      <c r="F20" s="9">
        <f t="shared" si="7"/>
        <v>0</v>
      </c>
      <c r="G20" s="10" t="s">
        <v>36</v>
      </c>
    </row>
    <row r="21" spans="1:7" ht="15.75" customHeight="1" x14ac:dyDescent="0.35">
      <c r="A21" s="12"/>
      <c r="B21" s="13" t="s">
        <v>37</v>
      </c>
      <c r="C21" s="14">
        <f t="shared" ref="C21:E21" si="8">SUM(C18:C20)</f>
        <v>3000</v>
      </c>
      <c r="D21" s="14">
        <f t="shared" si="8"/>
        <v>1600</v>
      </c>
      <c r="E21" s="14">
        <f t="shared" si="8"/>
        <v>1400</v>
      </c>
      <c r="F21" s="15">
        <f t="shared" si="7"/>
        <v>0.46666666666666667</v>
      </c>
      <c r="G21" s="16"/>
    </row>
    <row r="22" spans="1:7" ht="15" customHeight="1" x14ac:dyDescent="0.35">
      <c r="A22" s="5"/>
      <c r="B22" s="34" t="s">
        <v>38</v>
      </c>
      <c r="C22" s="35"/>
      <c r="D22" s="35"/>
      <c r="E22" s="35"/>
      <c r="F22" s="35"/>
      <c r="G22" s="36"/>
    </row>
    <row r="23" spans="1:7" ht="15.75" customHeight="1" x14ac:dyDescent="0.35">
      <c r="A23" s="5"/>
      <c r="B23" s="17" t="s">
        <v>39</v>
      </c>
      <c r="C23" s="7">
        <v>0</v>
      </c>
      <c r="D23" s="7">
        <v>0</v>
      </c>
      <c r="E23" s="8">
        <f t="shared" ref="E23:E27" si="9">C23-D23</f>
        <v>0</v>
      </c>
      <c r="F23" s="9">
        <f t="shared" ref="F23:F28" si="10">IF(C23=0,0,(C23-D23)/C23)</f>
        <v>0</v>
      </c>
      <c r="G23" s="10"/>
    </row>
    <row r="24" spans="1:7" ht="15.75" customHeight="1" x14ac:dyDescent="0.35">
      <c r="A24" s="5"/>
      <c r="B24" s="17" t="s">
        <v>40</v>
      </c>
      <c r="C24" s="7">
        <v>0</v>
      </c>
      <c r="D24" s="7">
        <v>280</v>
      </c>
      <c r="E24" s="8">
        <f t="shared" si="9"/>
        <v>-280</v>
      </c>
      <c r="F24" s="9">
        <f t="shared" si="10"/>
        <v>0</v>
      </c>
      <c r="G24" s="10" t="s">
        <v>41</v>
      </c>
    </row>
    <row r="25" spans="1:7" ht="15.75" customHeight="1" x14ac:dyDescent="0.35">
      <c r="A25" s="5"/>
      <c r="B25" s="17" t="s">
        <v>42</v>
      </c>
      <c r="C25" s="7">
        <v>0</v>
      </c>
      <c r="D25" s="7">
        <v>200</v>
      </c>
      <c r="E25" s="8">
        <f t="shared" si="9"/>
        <v>-200</v>
      </c>
      <c r="F25" s="9">
        <f t="shared" si="10"/>
        <v>0</v>
      </c>
      <c r="G25" s="10" t="s">
        <v>43</v>
      </c>
    </row>
    <row r="26" spans="1:7" ht="15.75" customHeight="1" x14ac:dyDescent="0.35">
      <c r="A26" s="5"/>
      <c r="B26" s="17" t="s">
        <v>44</v>
      </c>
      <c r="C26" s="7">
        <v>1200</v>
      </c>
      <c r="D26" s="7">
        <v>0</v>
      </c>
      <c r="E26" s="8">
        <f t="shared" si="9"/>
        <v>1200</v>
      </c>
      <c r="F26" s="9">
        <f t="shared" si="10"/>
        <v>1</v>
      </c>
      <c r="G26" s="10"/>
    </row>
    <row r="27" spans="1:7" ht="15.75" customHeight="1" x14ac:dyDescent="0.35">
      <c r="A27" s="5"/>
      <c r="B27" s="17" t="s">
        <v>45</v>
      </c>
      <c r="C27" s="7">
        <v>0</v>
      </c>
      <c r="D27" s="7">
        <v>0</v>
      </c>
      <c r="E27" s="8">
        <f t="shared" si="9"/>
        <v>0</v>
      </c>
      <c r="F27" s="9">
        <f t="shared" si="10"/>
        <v>0</v>
      </c>
      <c r="G27" s="10" t="s">
        <v>46</v>
      </c>
    </row>
    <row r="28" spans="1:7" ht="15.75" customHeight="1" x14ac:dyDescent="0.35">
      <c r="A28" s="12"/>
      <c r="B28" s="13" t="s">
        <v>47</v>
      </c>
      <c r="C28" s="14">
        <f t="shared" ref="C28:E28" si="11">SUM(C23:C27)</f>
        <v>1200</v>
      </c>
      <c r="D28" s="14">
        <f t="shared" si="11"/>
        <v>480</v>
      </c>
      <c r="E28" s="14">
        <f t="shared" si="11"/>
        <v>720</v>
      </c>
      <c r="F28" s="15">
        <f t="shared" si="10"/>
        <v>0.6</v>
      </c>
      <c r="G28" s="16"/>
    </row>
    <row r="29" spans="1:7" ht="15" customHeight="1" x14ac:dyDescent="0.35">
      <c r="A29" s="5"/>
      <c r="B29" s="34" t="s">
        <v>48</v>
      </c>
      <c r="C29" s="35"/>
      <c r="D29" s="35"/>
      <c r="E29" s="35"/>
      <c r="F29" s="35"/>
      <c r="G29" s="36"/>
    </row>
    <row r="30" spans="1:7" ht="15.75" customHeight="1" x14ac:dyDescent="0.35">
      <c r="A30" s="5"/>
      <c r="B30" s="17" t="s">
        <v>49</v>
      </c>
      <c r="C30" s="7">
        <v>1200</v>
      </c>
      <c r="D30" s="7">
        <v>0</v>
      </c>
      <c r="E30" s="8">
        <f t="shared" ref="E30:E36" si="12">C30-D30</f>
        <v>1200</v>
      </c>
      <c r="F30" s="9">
        <f t="shared" ref="F30:F37" si="13">IF(C30=0,0,(C30-D30)/C30)</f>
        <v>1</v>
      </c>
      <c r="G30" s="10"/>
    </row>
    <row r="31" spans="1:7" ht="15.75" customHeight="1" x14ac:dyDescent="0.35">
      <c r="A31" s="5"/>
      <c r="B31" s="17" t="s">
        <v>50</v>
      </c>
      <c r="C31" s="7">
        <v>0</v>
      </c>
      <c r="D31" s="7">
        <v>1200</v>
      </c>
      <c r="E31" s="8">
        <f t="shared" si="12"/>
        <v>-1200</v>
      </c>
      <c r="F31" s="9">
        <f t="shared" si="13"/>
        <v>0</v>
      </c>
      <c r="G31" s="10" t="s">
        <v>51</v>
      </c>
    </row>
    <row r="32" spans="1:7" ht="15.75" customHeight="1" x14ac:dyDescent="0.35">
      <c r="A32" s="5"/>
      <c r="B32" s="17" t="s">
        <v>52</v>
      </c>
      <c r="C32" s="7">
        <v>0</v>
      </c>
      <c r="D32" s="7">
        <v>1000</v>
      </c>
      <c r="E32" s="8">
        <f t="shared" si="12"/>
        <v>-1000</v>
      </c>
      <c r="F32" s="9">
        <f t="shared" si="13"/>
        <v>0</v>
      </c>
      <c r="G32" s="10"/>
    </row>
    <row r="33" spans="1:7" ht="15.75" customHeight="1" x14ac:dyDescent="0.35">
      <c r="A33" s="5"/>
      <c r="B33" s="17" t="s">
        <v>53</v>
      </c>
      <c r="C33" s="7">
        <v>0</v>
      </c>
      <c r="D33" s="7">
        <v>150</v>
      </c>
      <c r="E33" s="8">
        <f t="shared" si="12"/>
        <v>-150</v>
      </c>
      <c r="F33" s="9">
        <f t="shared" si="13"/>
        <v>0</v>
      </c>
      <c r="G33" s="10"/>
    </row>
    <row r="34" spans="1:7" ht="15.75" customHeight="1" x14ac:dyDescent="0.35">
      <c r="A34" s="5"/>
      <c r="B34" s="17" t="s">
        <v>54</v>
      </c>
      <c r="C34" s="7">
        <v>0</v>
      </c>
      <c r="D34" s="7">
        <v>0</v>
      </c>
      <c r="E34" s="8">
        <f t="shared" si="12"/>
        <v>0</v>
      </c>
      <c r="F34" s="9">
        <f t="shared" si="13"/>
        <v>0</v>
      </c>
      <c r="G34" s="10"/>
    </row>
    <row r="35" spans="1:7" ht="15.75" customHeight="1" x14ac:dyDescent="0.35">
      <c r="A35" s="5"/>
      <c r="B35" s="17" t="s">
        <v>55</v>
      </c>
      <c r="C35" s="7">
        <v>0</v>
      </c>
      <c r="D35" s="7">
        <v>0</v>
      </c>
      <c r="E35" s="8">
        <f t="shared" si="12"/>
        <v>0</v>
      </c>
      <c r="F35" s="9">
        <f t="shared" si="13"/>
        <v>0</v>
      </c>
      <c r="G35" s="10" t="s">
        <v>56</v>
      </c>
    </row>
    <row r="36" spans="1:7" ht="15.75" customHeight="1" x14ac:dyDescent="0.35">
      <c r="A36" s="5"/>
      <c r="B36" s="17" t="s">
        <v>57</v>
      </c>
      <c r="C36" s="7">
        <v>0</v>
      </c>
      <c r="D36" s="7">
        <v>0</v>
      </c>
      <c r="E36" s="8">
        <f t="shared" si="12"/>
        <v>0</v>
      </c>
      <c r="F36" s="9">
        <f t="shared" si="13"/>
        <v>0</v>
      </c>
      <c r="G36" s="10" t="s">
        <v>58</v>
      </c>
    </row>
    <row r="37" spans="1:7" ht="15.75" customHeight="1" x14ac:dyDescent="0.35">
      <c r="A37" s="12"/>
      <c r="B37" s="13" t="s">
        <v>59</v>
      </c>
      <c r="C37" s="14">
        <f t="shared" ref="C37:E37" si="14">SUM(C30:C36)</f>
        <v>1200</v>
      </c>
      <c r="D37" s="14">
        <f t="shared" si="14"/>
        <v>2350</v>
      </c>
      <c r="E37" s="14">
        <f t="shared" si="14"/>
        <v>-1150</v>
      </c>
      <c r="F37" s="15">
        <f t="shared" si="13"/>
        <v>-0.95833333333333337</v>
      </c>
      <c r="G37" s="16"/>
    </row>
    <row r="38" spans="1:7" ht="15" customHeight="1" x14ac:dyDescent="0.35">
      <c r="A38" s="5"/>
      <c r="B38" s="34" t="s">
        <v>60</v>
      </c>
      <c r="C38" s="35"/>
      <c r="D38" s="35"/>
      <c r="E38" s="35"/>
      <c r="F38" s="35"/>
      <c r="G38" s="36"/>
    </row>
    <row r="39" spans="1:7" ht="15.75" customHeight="1" x14ac:dyDescent="0.35">
      <c r="A39" s="5"/>
      <c r="B39" s="17" t="s">
        <v>61</v>
      </c>
      <c r="C39" s="7">
        <v>4350</v>
      </c>
      <c r="D39" s="7">
        <v>0</v>
      </c>
      <c r="E39" s="8">
        <f t="shared" ref="E39:E44" si="15">C39-D39</f>
        <v>4350</v>
      </c>
      <c r="F39" s="9">
        <f t="shared" ref="F39:F45" si="16">IF(C39=0,0,(C39-D39)/C39)</f>
        <v>1</v>
      </c>
      <c r="G39" s="10"/>
    </row>
    <row r="40" spans="1:7" ht="15.75" customHeight="1" x14ac:dyDescent="0.35">
      <c r="A40" s="5"/>
      <c r="B40" s="11" t="s">
        <v>62</v>
      </c>
      <c r="C40" s="7">
        <v>0</v>
      </c>
      <c r="D40" s="7">
        <v>0</v>
      </c>
      <c r="E40" s="8">
        <f t="shared" si="15"/>
        <v>0</v>
      </c>
      <c r="F40" s="9">
        <f t="shared" si="16"/>
        <v>0</v>
      </c>
      <c r="G40" s="10" t="s">
        <v>63</v>
      </c>
    </row>
    <row r="41" spans="1:7" ht="15.75" customHeight="1" x14ac:dyDescent="0.35">
      <c r="A41" s="5"/>
      <c r="B41" s="17" t="s">
        <v>64</v>
      </c>
      <c r="C41" s="7">
        <v>350</v>
      </c>
      <c r="D41" s="7">
        <v>0</v>
      </c>
      <c r="E41" s="8">
        <f t="shared" si="15"/>
        <v>350</v>
      </c>
      <c r="F41" s="9">
        <f t="shared" si="16"/>
        <v>1</v>
      </c>
      <c r="G41" s="10"/>
    </row>
    <row r="42" spans="1:7" ht="15.75" customHeight="1" x14ac:dyDescent="0.35">
      <c r="A42" s="5"/>
      <c r="B42" s="17" t="s">
        <v>65</v>
      </c>
      <c r="C42" s="7">
        <v>0</v>
      </c>
      <c r="D42" s="7">
        <v>280</v>
      </c>
      <c r="E42" s="8">
        <f t="shared" si="15"/>
        <v>-280</v>
      </c>
      <c r="F42" s="9">
        <f t="shared" si="16"/>
        <v>0</v>
      </c>
      <c r="G42" s="10" t="s">
        <v>66</v>
      </c>
    </row>
    <row r="43" spans="1:7" ht="15.75" customHeight="1" x14ac:dyDescent="0.35">
      <c r="A43" s="5"/>
      <c r="B43" s="17" t="s">
        <v>67</v>
      </c>
      <c r="C43" s="7">
        <v>0</v>
      </c>
      <c r="D43" s="7">
        <v>40</v>
      </c>
      <c r="E43" s="8">
        <f t="shared" si="15"/>
        <v>-40</v>
      </c>
      <c r="F43" s="9">
        <f t="shared" si="16"/>
        <v>0</v>
      </c>
      <c r="G43" s="10" t="s">
        <v>68</v>
      </c>
    </row>
    <row r="44" spans="1:7" ht="15.75" customHeight="1" x14ac:dyDescent="0.35">
      <c r="A44" s="5"/>
      <c r="B44" s="17" t="s">
        <v>69</v>
      </c>
      <c r="C44" s="7">
        <v>0</v>
      </c>
      <c r="D44" s="7">
        <v>200</v>
      </c>
      <c r="E44" s="8">
        <f t="shared" si="15"/>
        <v>-200</v>
      </c>
      <c r="F44" s="9">
        <f t="shared" si="16"/>
        <v>0</v>
      </c>
      <c r="G44" s="10"/>
    </row>
    <row r="45" spans="1:7" ht="15.75" customHeight="1" x14ac:dyDescent="0.35">
      <c r="A45" s="12"/>
      <c r="B45" s="13" t="s">
        <v>70</v>
      </c>
      <c r="C45" s="14">
        <f t="shared" ref="C45:E45" si="17">SUM(C39:C44)</f>
        <v>4700</v>
      </c>
      <c r="D45" s="14">
        <f t="shared" si="17"/>
        <v>520</v>
      </c>
      <c r="E45" s="14">
        <f t="shared" si="17"/>
        <v>4180</v>
      </c>
      <c r="F45" s="15">
        <f t="shared" si="16"/>
        <v>0.88936170212765953</v>
      </c>
      <c r="G45" s="16"/>
    </row>
    <row r="46" spans="1:7" ht="15" customHeight="1" x14ac:dyDescent="0.35">
      <c r="A46" s="5"/>
      <c r="B46" s="34" t="s">
        <v>71</v>
      </c>
      <c r="C46" s="35"/>
      <c r="D46" s="35"/>
      <c r="E46" s="35"/>
      <c r="F46" s="35"/>
      <c r="G46" s="36"/>
    </row>
    <row r="47" spans="1:7" ht="15.75" customHeight="1" x14ac:dyDescent="0.35">
      <c r="A47" s="5"/>
      <c r="B47" s="6" t="s">
        <v>72</v>
      </c>
      <c r="C47" s="7">
        <v>3500</v>
      </c>
      <c r="D47" s="7">
        <v>0</v>
      </c>
      <c r="E47" s="8">
        <f t="shared" ref="E47:E50" si="18">C47-D47</f>
        <v>3500</v>
      </c>
      <c r="F47" s="9">
        <f t="shared" ref="F47:F51" si="19">IF(C47=0,0,(C47-D47)/C47)</f>
        <v>1</v>
      </c>
      <c r="G47" s="10" t="s">
        <v>73</v>
      </c>
    </row>
    <row r="48" spans="1:7" ht="15.75" customHeight="1" x14ac:dyDescent="0.35">
      <c r="A48" s="5"/>
      <c r="B48" s="6" t="s">
        <v>74</v>
      </c>
      <c r="C48" s="7">
        <v>2800</v>
      </c>
      <c r="D48" s="7">
        <v>0</v>
      </c>
      <c r="E48" s="8">
        <f t="shared" si="18"/>
        <v>2800</v>
      </c>
      <c r="F48" s="9">
        <f t="shared" si="19"/>
        <v>1</v>
      </c>
      <c r="G48" s="10" t="s">
        <v>75</v>
      </c>
    </row>
    <row r="49" spans="1:7" ht="15.75" customHeight="1" x14ac:dyDescent="0.35">
      <c r="A49" s="5"/>
      <c r="B49" s="6" t="s">
        <v>76</v>
      </c>
      <c r="C49" s="7">
        <v>800</v>
      </c>
      <c r="D49" s="7">
        <v>0</v>
      </c>
      <c r="E49" s="8">
        <f t="shared" si="18"/>
        <v>800</v>
      </c>
      <c r="F49" s="9">
        <f t="shared" si="19"/>
        <v>1</v>
      </c>
      <c r="G49" s="10" t="s">
        <v>77</v>
      </c>
    </row>
    <row r="50" spans="1:7" ht="15.75" customHeight="1" x14ac:dyDescent="0.35">
      <c r="A50" s="5"/>
      <c r="B50" s="6" t="s">
        <v>78</v>
      </c>
      <c r="C50" s="7">
        <v>600</v>
      </c>
      <c r="D50" s="7">
        <v>0</v>
      </c>
      <c r="E50" s="8">
        <f t="shared" si="18"/>
        <v>600</v>
      </c>
      <c r="F50" s="9">
        <f t="shared" si="19"/>
        <v>1</v>
      </c>
      <c r="G50" s="10" t="s">
        <v>79</v>
      </c>
    </row>
    <row r="51" spans="1:7" ht="15.75" customHeight="1" x14ac:dyDescent="0.35">
      <c r="A51" s="12"/>
      <c r="B51" s="13" t="s">
        <v>80</v>
      </c>
      <c r="C51" s="14">
        <f t="shared" ref="C51:E51" si="20">SUM(C47:C50)</f>
        <v>7700</v>
      </c>
      <c r="D51" s="14">
        <f t="shared" si="20"/>
        <v>0</v>
      </c>
      <c r="E51" s="14">
        <f t="shared" si="20"/>
        <v>7700</v>
      </c>
      <c r="F51" s="15">
        <f t="shared" si="19"/>
        <v>1</v>
      </c>
      <c r="G51" s="16"/>
    </row>
    <row r="52" spans="1:7" ht="15.75" customHeight="1" x14ac:dyDescent="0.35"/>
    <row r="53" spans="1:7" ht="15.75" customHeight="1" x14ac:dyDescent="0.35">
      <c r="A53" s="18"/>
      <c r="B53" s="19" t="s">
        <v>81</v>
      </c>
      <c r="C53" s="20">
        <f t="shared" ref="C53:E53" si="21">C10+C16+C21+C28+C37+C45+C51</f>
        <v>41200</v>
      </c>
      <c r="D53" s="20">
        <f t="shared" si="21"/>
        <v>10100</v>
      </c>
      <c r="E53" s="20">
        <f t="shared" si="21"/>
        <v>31100</v>
      </c>
      <c r="F53" s="21">
        <f>IF(C53=0,0,(C53-D53)/C53)</f>
        <v>0.75485436893203883</v>
      </c>
      <c r="G53" s="18"/>
    </row>
    <row r="54" spans="1:7" ht="15.75" customHeight="1" x14ac:dyDescent="0.35"/>
    <row r="55" spans="1:7" ht="15.75" customHeight="1" x14ac:dyDescent="0.35">
      <c r="B55" s="33" t="s">
        <v>82</v>
      </c>
      <c r="C55" s="30"/>
      <c r="D55" s="30"/>
      <c r="E55" s="30"/>
      <c r="F55" s="30"/>
      <c r="G55" s="30"/>
    </row>
    <row r="56" spans="1:7" ht="15.75" customHeight="1" x14ac:dyDescent="0.35">
      <c r="B56" s="1" t="s">
        <v>83</v>
      </c>
      <c r="C56" s="22">
        <f>C53*12</f>
        <v>494400</v>
      </c>
    </row>
    <row r="57" spans="1:7" ht="15.75" customHeight="1" x14ac:dyDescent="0.35">
      <c r="B57" s="1" t="s">
        <v>84</v>
      </c>
      <c r="C57" s="22">
        <f>D53*12</f>
        <v>121200</v>
      </c>
    </row>
    <row r="58" spans="1:7" ht="15.75" customHeight="1" x14ac:dyDescent="0.35">
      <c r="B58" s="1" t="s">
        <v>85</v>
      </c>
      <c r="C58" s="2">
        <f>E53*12</f>
        <v>373200</v>
      </c>
    </row>
    <row r="59" spans="1:7" ht="15.75" customHeight="1" x14ac:dyDescent="0.35"/>
    <row r="60" spans="1:7" ht="15.75" customHeight="1" x14ac:dyDescent="0.35"/>
    <row r="61" spans="1:7" ht="15.75" customHeight="1" x14ac:dyDescent="0.35"/>
    <row r="62" spans="1:7" ht="15.75" customHeight="1" x14ac:dyDescent="0.35"/>
    <row r="63" spans="1:7" ht="15.75" customHeight="1" x14ac:dyDescent="0.35"/>
    <row r="64" spans="1:7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</sheetData>
  <mergeCells count="10">
    <mergeCell ref="B38:G38"/>
    <mergeCell ref="B46:G46"/>
    <mergeCell ref="B55:G55"/>
    <mergeCell ref="B1:G1"/>
    <mergeCell ref="B2:G2"/>
    <mergeCell ref="B5:G5"/>
    <mergeCell ref="B11:G11"/>
    <mergeCell ref="B17:G17"/>
    <mergeCell ref="B22:G22"/>
    <mergeCell ref="B29:G29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100"/>
  </sheetPr>
  <dimension ref="A1:B998"/>
  <sheetViews>
    <sheetView workbookViewId="0">
      <selection activeCell="A21" sqref="A21"/>
    </sheetView>
  </sheetViews>
  <sheetFormatPr defaultColWidth="14.453125" defaultRowHeight="15" customHeight="1" x14ac:dyDescent="0.35"/>
  <cols>
    <col min="1" max="1" width="59.08984375" customWidth="1"/>
    <col min="2" max="2" width="91.54296875" customWidth="1"/>
    <col min="3" max="23" width="8.7265625" customWidth="1"/>
  </cols>
  <sheetData>
    <row r="1" spans="1:2" ht="18" x14ac:dyDescent="0.4">
      <c r="A1" s="37" t="s">
        <v>86</v>
      </c>
      <c r="B1" s="30"/>
    </row>
    <row r="3" spans="1:2" ht="14.5" x14ac:dyDescent="0.35">
      <c r="A3" s="23" t="s">
        <v>87</v>
      </c>
      <c r="B3" s="23" t="s">
        <v>88</v>
      </c>
    </row>
    <row r="4" spans="1:2" ht="14.5" x14ac:dyDescent="0.35">
      <c r="A4" s="24" t="s">
        <v>89</v>
      </c>
      <c r="B4" s="10" t="s">
        <v>90</v>
      </c>
    </row>
    <row r="5" spans="1:2" ht="14.5" x14ac:dyDescent="0.35">
      <c r="A5" s="24" t="s">
        <v>91</v>
      </c>
      <c r="B5" s="10" t="s">
        <v>92</v>
      </c>
    </row>
    <row r="6" spans="1:2" ht="14.5" x14ac:dyDescent="0.35">
      <c r="A6" s="24" t="s">
        <v>93</v>
      </c>
      <c r="B6" s="10" t="s">
        <v>94</v>
      </c>
    </row>
    <row r="7" spans="1:2" ht="14.5" x14ac:dyDescent="0.35">
      <c r="A7" s="24" t="s">
        <v>95</v>
      </c>
      <c r="B7" s="10" t="s">
        <v>96</v>
      </c>
    </row>
    <row r="8" spans="1:2" ht="14.5" x14ac:dyDescent="0.35">
      <c r="A8" s="24" t="s">
        <v>97</v>
      </c>
      <c r="B8" s="10" t="s">
        <v>98</v>
      </c>
    </row>
    <row r="9" spans="1:2" ht="14.5" x14ac:dyDescent="0.35">
      <c r="A9" s="24" t="s">
        <v>99</v>
      </c>
      <c r="B9" s="10" t="s">
        <v>100</v>
      </c>
    </row>
    <row r="10" spans="1:2" ht="14.5" x14ac:dyDescent="0.35">
      <c r="A10" s="24" t="s">
        <v>101</v>
      </c>
      <c r="B10" s="10" t="s">
        <v>102</v>
      </c>
    </row>
    <row r="11" spans="1:2" ht="14.5" x14ac:dyDescent="0.35">
      <c r="A11" s="24" t="s">
        <v>103</v>
      </c>
      <c r="B11" s="10" t="s">
        <v>104</v>
      </c>
    </row>
    <row r="12" spans="1:2" ht="14.5" x14ac:dyDescent="0.35">
      <c r="A12" s="24" t="s">
        <v>105</v>
      </c>
      <c r="B12" s="10" t="s">
        <v>106</v>
      </c>
    </row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</sheetData>
  <mergeCells count="1">
    <mergeCell ref="A1:B1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F999"/>
  <sheetViews>
    <sheetView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C21" sqref="C21"/>
    </sheetView>
  </sheetViews>
  <sheetFormatPr defaultColWidth="14.453125" defaultRowHeight="15" customHeight="1" x14ac:dyDescent="0.35"/>
  <cols>
    <col min="1" max="1" width="4" customWidth="1"/>
    <col min="2" max="2" width="44" customWidth="1"/>
    <col min="3" max="3" width="16" customWidth="1"/>
    <col min="4" max="4" width="14" customWidth="1"/>
    <col min="5" max="5" width="18" customWidth="1"/>
    <col min="6" max="6" width="42" customWidth="1"/>
    <col min="7" max="26" width="8.7265625" customWidth="1"/>
  </cols>
  <sheetData>
    <row r="1" spans="1:6" ht="18" x14ac:dyDescent="0.4">
      <c r="B1" s="31" t="s">
        <v>137</v>
      </c>
      <c r="C1" s="30"/>
      <c r="D1" s="30"/>
      <c r="E1" s="30"/>
      <c r="F1" s="30"/>
    </row>
    <row r="3" spans="1:6" ht="14.5" x14ac:dyDescent="0.35">
      <c r="A3" s="4"/>
      <c r="B3" s="4" t="s">
        <v>107</v>
      </c>
      <c r="C3" s="4" t="s">
        <v>138</v>
      </c>
      <c r="D3" s="4" t="s">
        <v>108</v>
      </c>
      <c r="E3" s="4" t="s">
        <v>109</v>
      </c>
      <c r="F3" s="4" t="s">
        <v>110</v>
      </c>
    </row>
    <row r="4" spans="1:6" ht="23" x14ac:dyDescent="0.35">
      <c r="A4" s="5"/>
      <c r="B4" s="17" t="s">
        <v>111</v>
      </c>
      <c r="C4" s="7">
        <v>100</v>
      </c>
      <c r="D4" s="25">
        <v>48</v>
      </c>
      <c r="E4" s="8">
        <f>C4*D4</f>
        <v>4800</v>
      </c>
      <c r="F4" s="10" t="s">
        <v>112</v>
      </c>
    </row>
    <row r="5" spans="1:6" ht="14.5" x14ac:dyDescent="0.35">
      <c r="A5" s="5"/>
      <c r="B5" s="17" t="s">
        <v>113</v>
      </c>
      <c r="C5" s="7">
        <v>120</v>
      </c>
      <c r="D5" s="25">
        <v>120</v>
      </c>
      <c r="E5" s="8">
        <f t="shared" ref="E5:E15" si="0">C5*D5</f>
        <v>14400</v>
      </c>
      <c r="F5" s="10" t="s">
        <v>114</v>
      </c>
    </row>
    <row r="6" spans="1:6" ht="14.5" x14ac:dyDescent="0.35">
      <c r="A6" s="5"/>
      <c r="B6" s="17" t="s">
        <v>115</v>
      </c>
      <c r="C6" s="7">
        <v>100</v>
      </c>
      <c r="D6" s="25">
        <v>64</v>
      </c>
      <c r="E6" s="8">
        <f t="shared" si="0"/>
        <v>6400</v>
      </c>
      <c r="F6" s="10" t="s">
        <v>116</v>
      </c>
    </row>
    <row r="7" spans="1:6" ht="14.5" x14ac:dyDescent="0.35">
      <c r="A7" s="5"/>
      <c r="B7" s="17" t="s">
        <v>117</v>
      </c>
      <c r="C7" s="7">
        <v>100</v>
      </c>
      <c r="D7" s="25">
        <v>96</v>
      </c>
      <c r="E7" s="8">
        <f t="shared" si="0"/>
        <v>9600</v>
      </c>
      <c r="F7" s="10" t="s">
        <v>118</v>
      </c>
    </row>
    <row r="8" spans="1:6" ht="14.5" x14ac:dyDescent="0.35">
      <c r="A8" s="5"/>
      <c r="B8" s="17" t="s">
        <v>119</v>
      </c>
      <c r="C8" s="7">
        <v>120</v>
      </c>
      <c r="D8" s="25">
        <v>24</v>
      </c>
      <c r="E8" s="8">
        <f t="shared" si="0"/>
        <v>2880</v>
      </c>
      <c r="F8" s="10" t="s">
        <v>120</v>
      </c>
    </row>
    <row r="9" spans="1:6" ht="14.5" x14ac:dyDescent="0.35">
      <c r="A9" s="5"/>
      <c r="B9" s="17" t="s">
        <v>121</v>
      </c>
      <c r="C9" s="7">
        <v>100</v>
      </c>
      <c r="D9" s="25">
        <v>16</v>
      </c>
      <c r="E9" s="8">
        <f t="shared" si="0"/>
        <v>1600</v>
      </c>
      <c r="F9" s="10" t="s">
        <v>122</v>
      </c>
    </row>
    <row r="10" spans="1:6" ht="14.5" x14ac:dyDescent="0.35">
      <c r="A10" s="5"/>
      <c r="B10" s="17" t="s">
        <v>123</v>
      </c>
      <c r="C10" s="7">
        <v>100</v>
      </c>
      <c r="D10" s="25">
        <v>32</v>
      </c>
      <c r="E10" s="8">
        <f t="shared" si="0"/>
        <v>3200</v>
      </c>
      <c r="F10" s="10" t="s">
        <v>124</v>
      </c>
    </row>
    <row r="11" spans="1:6" ht="14.5" x14ac:dyDescent="0.35">
      <c r="A11" s="5"/>
      <c r="B11" s="17" t="s">
        <v>125</v>
      </c>
      <c r="C11" s="7">
        <v>100</v>
      </c>
      <c r="D11" s="25">
        <v>12</v>
      </c>
      <c r="E11" s="8">
        <f t="shared" si="0"/>
        <v>1200</v>
      </c>
      <c r="F11" s="10" t="s">
        <v>126</v>
      </c>
    </row>
    <row r="12" spans="1:6" ht="14.5" x14ac:dyDescent="0.35">
      <c r="A12" s="5"/>
      <c r="B12" s="17" t="s">
        <v>127</v>
      </c>
      <c r="C12" s="7">
        <v>120</v>
      </c>
      <c r="D12" s="25">
        <v>16</v>
      </c>
      <c r="E12" s="8">
        <f t="shared" si="0"/>
        <v>1920</v>
      </c>
      <c r="F12" s="10" t="s">
        <v>128</v>
      </c>
    </row>
    <row r="13" spans="1:6" ht="14.5" x14ac:dyDescent="0.35">
      <c r="A13" s="5"/>
      <c r="B13" s="17" t="s">
        <v>129</v>
      </c>
      <c r="C13" s="7">
        <v>100</v>
      </c>
      <c r="D13" s="25">
        <v>40</v>
      </c>
      <c r="E13" s="8">
        <f t="shared" si="0"/>
        <v>4000</v>
      </c>
      <c r="F13" s="10" t="s">
        <v>130</v>
      </c>
    </row>
    <row r="14" spans="1:6" ht="14.5" x14ac:dyDescent="0.35">
      <c r="A14" s="5"/>
      <c r="B14" s="17" t="s">
        <v>131</v>
      </c>
      <c r="C14" s="7">
        <v>100</v>
      </c>
      <c r="D14" s="25">
        <v>24</v>
      </c>
      <c r="E14" s="8">
        <f t="shared" si="0"/>
        <v>2400</v>
      </c>
      <c r="F14" s="10" t="s">
        <v>132</v>
      </c>
    </row>
    <row r="15" spans="1:6" ht="14.5" x14ac:dyDescent="0.35">
      <c r="A15" s="5"/>
      <c r="B15" s="17" t="s">
        <v>133</v>
      </c>
      <c r="C15" s="7">
        <v>0</v>
      </c>
      <c r="D15" s="25">
        <v>0</v>
      </c>
      <c r="E15" s="8">
        <f t="shared" si="0"/>
        <v>0</v>
      </c>
      <c r="F15" s="10" t="s">
        <v>134</v>
      </c>
    </row>
    <row r="16" spans="1:6" ht="15.5" x14ac:dyDescent="0.35">
      <c r="A16" s="18"/>
      <c r="B16" s="19" t="s">
        <v>135</v>
      </c>
      <c r="C16" s="18"/>
      <c r="D16" s="26">
        <f t="shared" ref="D16:E16" si="1">SUM(D4:D15)</f>
        <v>492</v>
      </c>
      <c r="E16" s="20">
        <f t="shared" si="1"/>
        <v>52400</v>
      </c>
      <c r="F16" s="18"/>
    </row>
    <row r="18" spans="2:3" ht="15.5" x14ac:dyDescent="0.35">
      <c r="B18" s="3" t="s">
        <v>136</v>
      </c>
    </row>
    <row r="19" spans="2:3" ht="15.5" x14ac:dyDescent="0.35">
      <c r="B19" s="27" t="s">
        <v>0</v>
      </c>
      <c r="C19" s="2">
        <f>'Comparativo Mensal'!E53</f>
        <v>31100</v>
      </c>
    </row>
    <row r="20" spans="2:3" ht="15.75" customHeight="1" x14ac:dyDescent="0.35">
      <c r="B20" s="27" t="s">
        <v>1</v>
      </c>
      <c r="C20" s="28">
        <f>IF(C19=0,"N/A",CEILING(E16/C19,1))</f>
        <v>2</v>
      </c>
    </row>
    <row r="21" spans="2:3" ht="15.75" customHeight="1" x14ac:dyDescent="0.35">
      <c r="B21" s="27" t="s">
        <v>2</v>
      </c>
      <c r="C21" s="29">
        <f>IF(E16=0,0,(C19*12-E16)/E16)</f>
        <v>6.1221374045801529</v>
      </c>
    </row>
    <row r="22" spans="2:3" ht="15.75" customHeight="1" x14ac:dyDescent="0.35"/>
    <row r="23" spans="2:3" ht="15.75" customHeight="1" x14ac:dyDescent="0.35"/>
    <row r="24" spans="2:3" ht="15.75" customHeight="1" x14ac:dyDescent="0.35"/>
    <row r="25" spans="2:3" ht="15.75" customHeight="1" x14ac:dyDescent="0.35"/>
    <row r="26" spans="2:3" ht="15.75" customHeight="1" x14ac:dyDescent="0.35"/>
    <row r="27" spans="2:3" ht="15.75" customHeight="1" x14ac:dyDescent="0.35"/>
    <row r="28" spans="2:3" ht="15.75" customHeight="1" x14ac:dyDescent="0.35"/>
    <row r="29" spans="2:3" ht="15.75" customHeight="1" x14ac:dyDescent="0.35"/>
    <row r="30" spans="2:3" ht="15.75" customHeight="1" x14ac:dyDescent="0.35"/>
    <row r="31" spans="2:3" ht="15.75" customHeight="1" x14ac:dyDescent="0.35"/>
    <row r="32" spans="2:3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</sheetData>
  <mergeCells count="1">
    <mergeCell ref="B1:F1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docMetadata/LabelInfo.xml><?xml version="1.0" encoding="utf-8"?>
<clbl:labelList xmlns:clbl="http://schemas.microsoft.com/office/2020/mipLabelMetadata">
  <clbl:label id="{fc61e2ae-8216-4fe8-bcf8-dc15dbe02e6f}" enabled="1" method="Privileged" siteId="{454e8891-c607-41cd-925f-9fcd02d134c9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Comparativo Mensal</vt:lpstr>
      <vt:lpstr>Quick Wins</vt:lpstr>
      <vt:lpstr>Custos de Migração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Clayton Gregorio de Oliveira</cp:lastModifiedBy>
  <dcterms:created xsi:type="dcterms:W3CDTF">2026-06-15T01:22:49Z</dcterms:created>
  <dcterms:modified xsi:type="dcterms:W3CDTF">2026-06-16T11:30:59Z</dcterms:modified>
</cp:coreProperties>
</file>