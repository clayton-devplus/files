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layton.oliveira\source\repos\files\arch\"/>
    </mc:Choice>
  </mc:AlternateContent>
  <xr:revisionPtr revIDLastSave="0" documentId="13_ncr:1_{C2926C10-FFBC-4250-BF3A-5B684CFD06B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usto - OCI" sheetId="5" r:id="rId1"/>
    <sheet name="Comparativo Mensal" sheetId="2" r:id="rId2"/>
    <sheet name="Quick Wins" sheetId="3" r:id="rId3"/>
    <sheet name="Custos de Migraçã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IOY+PlYefFxSZh5wEfjGYXxwc0wU6TXlfUUEWxe7IB4="/>
    </ext>
  </extLst>
</workbook>
</file>

<file path=xl/calcChain.xml><?xml version="1.0" encoding="utf-8"?>
<calcChain xmlns="http://schemas.openxmlformats.org/spreadsheetml/2006/main">
  <c r="D8" i="5" l="1"/>
  <c r="K2" i="5"/>
  <c r="D5" i="4"/>
  <c r="D6" i="4"/>
  <c r="D7" i="4"/>
  <c r="D8" i="4"/>
  <c r="D9" i="4"/>
  <c r="D10" i="4"/>
  <c r="D11" i="4"/>
  <c r="D12" i="4"/>
  <c r="D13" i="4"/>
  <c r="D14" i="4"/>
  <c r="D15" i="4"/>
  <c r="D4" i="4"/>
  <c r="C16" i="4"/>
  <c r="C51" i="2"/>
  <c r="B51" i="2"/>
  <c r="E50" i="2"/>
  <c r="D50" i="2"/>
  <c r="E49" i="2"/>
  <c r="D49" i="2"/>
  <c r="E48" i="2"/>
  <c r="D48" i="2"/>
  <c r="E47" i="2"/>
  <c r="D47" i="2"/>
  <c r="C45" i="2"/>
  <c r="B45" i="2"/>
  <c r="E44" i="2"/>
  <c r="D44" i="2"/>
  <c r="E43" i="2"/>
  <c r="D43" i="2"/>
  <c r="E42" i="2"/>
  <c r="D42" i="2"/>
  <c r="E41" i="2"/>
  <c r="D41" i="2"/>
  <c r="E40" i="2"/>
  <c r="D40" i="2"/>
  <c r="E39" i="2"/>
  <c r="D39" i="2"/>
  <c r="C37" i="2"/>
  <c r="B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C28" i="2"/>
  <c r="B28" i="2"/>
  <c r="E27" i="2"/>
  <c r="D27" i="2"/>
  <c r="E26" i="2"/>
  <c r="D26" i="2"/>
  <c r="E25" i="2"/>
  <c r="D25" i="2"/>
  <c r="E24" i="2"/>
  <c r="D24" i="2"/>
  <c r="E23" i="2"/>
  <c r="D23" i="2"/>
  <c r="C21" i="2"/>
  <c r="B21" i="2"/>
  <c r="E20" i="2"/>
  <c r="D20" i="2"/>
  <c r="E19" i="2"/>
  <c r="D19" i="2"/>
  <c r="E18" i="2"/>
  <c r="D18" i="2"/>
  <c r="D16" i="2"/>
  <c r="C16" i="2"/>
  <c r="B16" i="2"/>
  <c r="E15" i="2"/>
  <c r="D15" i="2"/>
  <c r="E14" i="2"/>
  <c r="D14" i="2"/>
  <c r="E13" i="2"/>
  <c r="D13" i="2"/>
  <c r="E12" i="2"/>
  <c r="D12" i="2"/>
  <c r="C10" i="2"/>
  <c r="B10" i="2"/>
  <c r="E9" i="2"/>
  <c r="D9" i="2"/>
  <c r="E8" i="2"/>
  <c r="D8" i="2"/>
  <c r="E7" i="2"/>
  <c r="D7" i="2"/>
  <c r="E6" i="2"/>
  <c r="D6" i="2"/>
  <c r="E8" i="5" l="1"/>
  <c r="F8" i="5" s="1"/>
  <c r="D51" i="2"/>
  <c r="D37" i="2"/>
  <c r="D10" i="2"/>
  <c r="C53" i="2"/>
  <c r="B53" i="2"/>
  <c r="E51" i="2"/>
  <c r="E45" i="2"/>
  <c r="D45" i="2"/>
  <c r="E10" i="2"/>
  <c r="E37" i="2"/>
  <c r="E28" i="2"/>
  <c r="D28" i="2"/>
  <c r="E21" i="2"/>
  <c r="D21" i="2"/>
  <c r="E16" i="2"/>
  <c r="D16" i="4" l="1"/>
  <c r="B57" i="2"/>
  <c r="E53" i="2"/>
  <c r="B56" i="2"/>
  <c r="D53" i="2"/>
  <c r="B19" i="4" l="1"/>
  <c r="B58" i="2"/>
  <c r="B21" i="4" l="1"/>
  <c r="B20" i="4"/>
</calcChain>
</file>

<file path=xl/sharedStrings.xml><?xml version="1.0" encoding="utf-8"?>
<sst xmlns="http://schemas.openxmlformats.org/spreadsheetml/2006/main" count="158" uniqueCount="155">
  <si>
    <t>Economia Mensal</t>
  </si>
  <si>
    <t>Payback</t>
  </si>
  <si>
    <t>ROI 1º Ano</t>
  </si>
  <si>
    <t>Migração OCI → AWS — Comparativo de Custos Mensal</t>
  </si>
  <si>
    <t>Recurso / Serviço</t>
  </si>
  <si>
    <t>OCI (Atual)</t>
  </si>
  <si>
    <t>AWS (Novo)</t>
  </si>
  <si>
    <t>Economia (R$)</t>
  </si>
  <si>
    <t>Redução (%)</t>
  </si>
  <si>
    <t>Observações</t>
  </si>
  <si>
    <t>Compute &amp; Runtime</t>
  </si>
  <si>
    <t>VMs Windows c/ IIS (apps .NET)</t>
  </si>
  <si>
    <t>Migram para EKS (eliminadas)</t>
  </si>
  <si>
    <t>Licenciamento Windows Server (VMs app)</t>
  </si>
  <si>
    <t>Containers Linux = sem licença Windows</t>
  </si>
  <si>
    <t>EKS (Kubernetes gerenciado)</t>
  </si>
  <si>
    <t>Cluster EKS Autopilot / managed node groups</t>
  </si>
  <si>
    <t>EC2 Spot / Reserved (nodes EKS)</t>
  </si>
  <si>
    <t>Nodes Linux otimizados (Graviton ARM)</t>
  </si>
  <si>
    <t>Subtotal Compute &amp; Runtime</t>
  </si>
  <si>
    <t>Banco de Dados</t>
  </si>
  <si>
    <t>Oracle Database (OCI)</t>
  </si>
  <si>
    <t>Migração para MySQL/Aurora na AWS</t>
  </si>
  <si>
    <t>MySQL (OCI — destino sync)</t>
  </si>
  <si>
    <t>Consolidado na AWS</t>
  </si>
  <si>
    <t>Amazon Aurora MySQL</t>
  </si>
  <si>
    <t>Amazon ElastiCache (Redis)</t>
  </si>
  <si>
    <t>Cache de sessão e aplicação</t>
  </si>
  <si>
    <t>Subtotal Banco de Dados</t>
  </si>
  <si>
    <t>Mensageria &amp; Filas</t>
  </si>
  <si>
    <t>SQS/SNS</t>
  </si>
  <si>
    <t>Substituído por RabbitMQ no EKS</t>
  </si>
  <si>
    <t>RabbitMQ (self-hosted no EKS)</t>
  </si>
  <si>
    <t>Open-source, roda como pod no cluster</t>
  </si>
  <si>
    <t>Recursos do pod RabbitMQ (CPU/RAM)</t>
  </si>
  <si>
    <t>Incluso nos nodes, custo marginal</t>
  </si>
  <si>
    <t>Subtotal Mensageria &amp; Filas</t>
  </si>
  <si>
    <t>Storage &amp; CDN</t>
  </si>
  <si>
    <t>OCI Object Storage</t>
  </si>
  <si>
    <t>Amazon S3</t>
  </si>
  <si>
    <t>Migração de buckets</t>
  </si>
  <si>
    <t>CloudFront (CDN)</t>
  </si>
  <si>
    <t>CDN para assets estáticos</t>
  </si>
  <si>
    <t>OCI Load Balancer</t>
  </si>
  <si>
    <t>AWS ALB (Application Load Balancer)</t>
  </si>
  <si>
    <t>Integrado com EKS Ingress (Já implementado)</t>
  </si>
  <si>
    <t>Subtotal Storage &amp; CDN</t>
  </si>
  <si>
    <t>Rede &amp; Segurança</t>
  </si>
  <si>
    <t>Egress / Tráfego de rede (OCI)</t>
  </si>
  <si>
    <t>Egress / Tráfego de rede (AWS)</t>
  </si>
  <si>
    <t>VPN / Interconexão OCI</t>
  </si>
  <si>
    <t>AWS VPC / NAT Gateway</t>
  </si>
  <si>
    <t>DNS (Route 53)</t>
  </si>
  <si>
    <t>WAF (AWS WAF)</t>
  </si>
  <si>
    <t>Proteção de API</t>
  </si>
  <si>
    <t>ACM (Certificados SSL)</t>
  </si>
  <si>
    <t>Gratuito na AWS</t>
  </si>
  <si>
    <t>Subtotal Rede &amp; Segurança</t>
  </si>
  <si>
    <t>DevOps &amp; Observabilidade</t>
  </si>
  <si>
    <t>CI/CD Jenkins</t>
  </si>
  <si>
    <t>Bitbucket Pipelines (CI/CD)</t>
  </si>
  <si>
    <t>Reuso de pipelines existentes</t>
  </si>
  <si>
    <t>Monitoring OCI</t>
  </si>
  <si>
    <t>Amazon CloudWatch + Grafana</t>
  </si>
  <si>
    <t>Logs, métricas, alertas</t>
  </si>
  <si>
    <t>ECR (Container Registry)</t>
  </si>
  <si>
    <t>Registry de imagens Docker</t>
  </si>
  <si>
    <t>AWS Secrets Manager</t>
  </si>
  <si>
    <t>Subtotal DevOps &amp; Observabilidade</t>
  </si>
  <si>
    <t>Custos Operacionais Eliminados (Quick Wins)</t>
  </si>
  <si>
    <t>Manutenção/Patching VMs Windows</t>
  </si>
  <si>
    <t>Sem Windows = sem patching de OS</t>
  </si>
  <si>
    <t>Horas de suporte infra Windows (estimado)</t>
  </si>
  <si>
    <t>Ops reduzido com K8s gerenciado</t>
  </si>
  <si>
    <t>Monitoramento dos Workers de sync</t>
  </si>
  <si>
    <t>Workers eliminados</t>
  </si>
  <si>
    <t>Licença antivírus/EDR (VMs Windows)</t>
  </si>
  <si>
    <t>Containers Linux não requerem</t>
  </si>
  <si>
    <t>Subtotal Custos Operacionais Eliminados</t>
  </si>
  <si>
    <t>TOTAL MENSAL</t>
  </si>
  <si>
    <t>Projeção Anual</t>
  </si>
  <si>
    <t>Custo Anual OCI (Atual)</t>
  </si>
  <si>
    <t>Custo Anual AWS (Novo)</t>
  </si>
  <si>
    <t>Economia Anual Total</t>
  </si>
  <si>
    <t>Quick Wins — Ganhos Imediatos com a Migração OCI → AWS</t>
  </si>
  <si>
    <t>Quick Win</t>
  </si>
  <si>
    <t>Justificativa / Impacto</t>
  </si>
  <si>
    <t>Eliminação de VMs Windows (IIS)</t>
  </si>
  <si>
    <t>Apps .NET migram para containers Linux no EKS. Zero custo de VM, zero licenciamento Windows Server.</t>
  </si>
  <si>
    <t>Eliminação de licenças Windows Server</t>
  </si>
  <si>
    <t>VMs de app + workers usavam Windows Server. Containers Linux eliminam 100% desse custo.</t>
  </si>
  <si>
    <t>Eliminação dos Workers de Sincronização</t>
  </si>
  <si>
    <t>Dados consolidados na AWS (Aurora). Sem necessidade de sync Oracle↔MySQL, workers desligados.</t>
  </si>
  <si>
    <t>Redução de Oracle Database → Aurora MySQL</t>
  </si>
  <si>
    <t>Oracle DB na OCI para diminuição do monolito que temos hoje</t>
  </si>
  <si>
    <t>RabbitMQ (open-source) no lugar de SQS/SNS</t>
  </si>
  <si>
    <t>RabbitMQ roda como pod no EKS (custo marginal de ~R$ 180). Substitui serviço gerenciado (R$ 450).</t>
  </si>
  <si>
    <t>Eliminação de manutenção Windows</t>
  </si>
  <si>
    <t>Sem patching de OS Windows, sem atualizações de IIS, sem reinicializações programadas.</t>
  </si>
  <si>
    <t>Redução de horas de suporte operacional</t>
  </si>
  <si>
    <t>K8s gerenciado + containers = menos tickets de infra, deploys self-healing.</t>
  </si>
  <si>
    <t>Eliminação de antivírus/EDR em VMs</t>
  </si>
  <si>
    <t>Containers Linux efêmeros não requerem agentes de segurança de endpoint.</t>
  </si>
  <si>
    <t>Eliminação de monitoramento de workers</t>
  </si>
  <si>
    <t>Workers eliminados = dashboards, alertas e runbooks de sync descontinuados.</t>
  </si>
  <si>
    <t>Fase / Item</t>
  </si>
  <si>
    <t>Horas</t>
  </si>
  <si>
    <t>Custo Total</t>
  </si>
  <si>
    <t>Detalhamento</t>
  </si>
  <si>
    <t>Discovery &amp; Assessment</t>
  </si>
  <si>
    <t>Levantamento de workloads OCI, dependências, sizing AWS</t>
  </si>
  <si>
    <t>Containerização das apps .NET (IIS → Docker)</t>
  </si>
  <si>
    <t>Dockerfile, health checks, remoção deps IIS, testes</t>
  </si>
  <si>
    <t>Setup EKS + Networking (VPC, ALB, NAT)</t>
  </si>
  <si>
    <t>Cluster EKS, node groups, Helm charts, Ingress</t>
  </si>
  <si>
    <t>Migração Oracle → Aurora MySQL</t>
  </si>
  <si>
    <t>Schema conversion (SCT), DMS, validação de dados</t>
  </si>
  <si>
    <t>Setup RabbitMQ no EKS</t>
  </si>
  <si>
    <t>Helm chart, exchanges, filas, políticas de HA</t>
  </si>
  <si>
    <t>Migração de Storage (OCI → S3)</t>
  </si>
  <si>
    <t>Buckets, permissões IAM, lifecycle policies</t>
  </si>
  <si>
    <t>Reconfiguração CI/CD (GitHub Actions)</t>
  </si>
  <si>
    <t>Pipelines, ECR push, deploy EKS, secrets</t>
  </si>
  <si>
    <t>DNS, SSL e cutover de tráfego</t>
  </si>
  <si>
    <t>Route 53, ACM, blue-green ou canary deploy</t>
  </si>
  <si>
    <t>Descomissionamento dos Workers de sync</t>
  </si>
  <si>
    <t>Validação de dados, shutdown, cleanup OCI</t>
  </si>
  <si>
    <t>Testes de carga e validação</t>
  </si>
  <si>
    <t>Smoke tests, stress test, rollback plan</t>
  </si>
  <si>
    <t>Treinamento da equipe (AWS/EKS)</t>
  </si>
  <si>
    <t>Workshops K8s, kubectl, CloudWatch, runbooks</t>
  </si>
  <si>
    <t>Contingência (15%)</t>
  </si>
  <si>
    <t>Buffer para imprevistos da migração</t>
  </si>
  <si>
    <t>TOTAL MIGRAÇÃO</t>
  </si>
  <si>
    <t>Payback da Migração</t>
  </si>
  <si>
    <t>Custos de Migração OCI → AWS</t>
  </si>
  <si>
    <t>Valor Hora(R$)</t>
  </si>
  <si>
    <t>VMs (QTD)</t>
  </si>
  <si>
    <t>Familia O.S.</t>
  </si>
  <si>
    <t>Tipo</t>
  </si>
  <si>
    <t>Valor</t>
  </si>
  <si>
    <t>Computação</t>
  </si>
  <si>
    <t>Storage</t>
  </si>
  <si>
    <t>Data Transfer</t>
  </si>
  <si>
    <t>Load Balancer</t>
  </si>
  <si>
    <t>IP Address</t>
  </si>
  <si>
    <t>Windows</t>
  </si>
  <si>
    <t>Linux</t>
  </si>
  <si>
    <t>Total Geral</t>
  </si>
  <si>
    <t>Appliances</t>
  </si>
  <si>
    <t>Custo Aprox. p/ VM</t>
  </si>
  <si>
    <t>10% em media do total do valor de storage OCI</t>
  </si>
  <si>
    <t>Apps AWS</t>
  </si>
  <si>
    <t xml:space="preserve">AWS egress </t>
  </si>
  <si>
    <t>Custo Aprox. p/ VM APPs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</si>
</sst>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R$ &quot;#,##0.00;&quot;(R$ &quot;#,##0.00\);\-"/>
    <numFmt numFmtId="165" formatCode="0.0%"/>
    <numFmt numFmtId="166" formatCode="0&quot; meses&quot;"/>
  </numFmts>
  <fonts count="18" x14ac:knownFonts="1">
    <font>
      <sz val="11"/>
      <color theme="1"/>
      <name val="Calibri"/>
      <scheme val="minor"/>
    </font>
    <font>
      <b/>
      <sz val="14"/>
      <color rgb="FF1F4E79"/>
      <name val="Arial"/>
    </font>
    <font>
      <i/>
      <sz val="9"/>
      <color rgb="FF808080"/>
      <name val="Arial"/>
    </font>
    <font>
      <b/>
      <sz val="10"/>
      <color theme="1"/>
      <name val="Arial"/>
    </font>
    <font>
      <b/>
      <sz val="12"/>
      <color rgb="FF1F4E79"/>
      <name val="Arial"/>
    </font>
    <font>
      <b/>
      <sz val="12"/>
      <color rgb="FF006100"/>
      <name val="Arial"/>
    </font>
    <font>
      <b/>
      <sz val="14"/>
      <color rgb="FF006100"/>
      <name val="Arial"/>
    </font>
    <font>
      <sz val="10"/>
      <color theme="1"/>
      <name val="Arial"/>
    </font>
    <font>
      <b/>
      <sz val="11"/>
      <color rgb="FFFFFFFF"/>
      <name val="Arial"/>
    </font>
    <font>
      <sz val="11"/>
      <color theme="1"/>
      <name val="Calibri"/>
    </font>
    <font>
      <sz val="11"/>
      <name val="Calibri"/>
    </font>
    <font>
      <sz val="10"/>
      <color rgb="FF0000FF"/>
      <name val="Arial"/>
    </font>
    <font>
      <sz val="9"/>
      <color rgb="FF666666"/>
      <name val="Arial"/>
    </font>
    <font>
      <b/>
      <sz val="12"/>
      <color rgb="FFFFFFFF"/>
      <name val="Arial"/>
    </font>
    <font>
      <b/>
      <sz val="12"/>
      <color theme="1"/>
      <name val="Arial"/>
    </font>
    <font>
      <b/>
      <sz val="16"/>
      <color rgb="FF1F4E79"/>
      <name val="Arial"/>
    </font>
    <font>
      <b/>
      <sz val="16"/>
      <color rgb="FF006100"/>
      <name val="Arial"/>
    </font>
    <font>
      <sz val="11"/>
      <color theme="1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CE4EC"/>
        <bgColor rgb="FFFCE4EC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6E4F0"/>
        <bgColor rgb="FFD6E4F0"/>
      </patternFill>
    </fill>
    <fill>
      <patternFill patternType="solid">
        <fgColor rgb="FF0D3B66"/>
        <bgColor rgb="FF0D3B66"/>
      </patternFill>
    </fill>
    <fill>
      <patternFill patternType="solid">
        <fgColor rgb="FF006100"/>
        <bgColor rgb="FF006100"/>
      </patternFill>
    </fill>
  </fills>
  <borders count="6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/>
      <top style="thin">
        <color rgb="FFB4B4B4"/>
      </top>
      <bottom style="thin">
        <color rgb="FFB4B4B4"/>
      </bottom>
      <diagonal/>
    </border>
    <border>
      <left/>
      <right/>
      <top style="thin">
        <color rgb="FFB4B4B4"/>
      </top>
      <bottom style="thin">
        <color rgb="FFB4B4B4"/>
      </bottom>
      <diagonal/>
    </border>
    <border>
      <left/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medium">
        <color rgb="FF1F4E79"/>
      </bottom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3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8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164" fontId="11" fillId="6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3" fillId="8" borderId="5" xfId="0" applyFont="1" applyFill="1" applyBorder="1" applyAlignment="1">
      <alignment horizontal="left" vertical="center" wrapText="1"/>
    </xf>
    <xf numFmtId="164" fontId="3" fillId="8" borderId="5" xfId="0" applyNumberFormat="1" applyFont="1" applyFill="1" applyBorder="1" applyAlignment="1">
      <alignment horizontal="center" vertical="center" wrapText="1"/>
    </xf>
    <xf numFmtId="165" fontId="3" fillId="8" borderId="5" xfId="0" applyNumberFormat="1" applyFont="1" applyFill="1" applyBorder="1" applyAlignment="1">
      <alignment horizontal="center" vertical="center" wrapText="1"/>
    </xf>
    <xf numFmtId="0" fontId="9" fillId="8" borderId="5" xfId="0" applyFont="1" applyFill="1" applyBorder="1"/>
    <xf numFmtId="0" fontId="7" fillId="0" borderId="1" xfId="0" applyFont="1" applyBorder="1" applyAlignment="1">
      <alignment horizontal="left" vertical="center" wrapText="1"/>
    </xf>
    <xf numFmtId="0" fontId="9" fillId="9" borderId="1" xfId="0" applyFont="1" applyFill="1" applyBorder="1"/>
    <xf numFmtId="0" fontId="13" fillId="9" borderId="1" xfId="0" applyFont="1" applyFill="1" applyBorder="1" applyAlignment="1">
      <alignment horizontal="left" vertical="center" wrapText="1"/>
    </xf>
    <xf numFmtId="164" fontId="13" fillId="9" borderId="1" xfId="0" applyNumberFormat="1" applyFont="1" applyFill="1" applyBorder="1" applyAlignment="1">
      <alignment horizontal="center" vertical="center" wrapText="1"/>
    </xf>
    <xf numFmtId="165" fontId="13" fillId="9" borderId="1" xfId="0" applyNumberFormat="1" applyFont="1" applyFill="1" applyBorder="1" applyAlignment="1">
      <alignment horizontal="center" vertical="center" wrapText="1"/>
    </xf>
    <xf numFmtId="164" fontId="14" fillId="0" borderId="1" xfId="0" applyNumberFormat="1" applyFont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3" fontId="11" fillId="6" borderId="1" xfId="0" applyNumberFormat="1" applyFont="1" applyFill="1" applyBorder="1" applyAlignment="1">
      <alignment horizontal="center" vertical="center" wrapText="1"/>
    </xf>
    <xf numFmtId="3" fontId="13" fillId="9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66" fontId="15" fillId="0" borderId="1" xfId="0" applyNumberFormat="1" applyFont="1" applyBorder="1" applyAlignment="1">
      <alignment horizontal="center" vertical="center" wrapText="1"/>
    </xf>
    <xf numFmtId="165" fontId="16" fillId="2" borderId="1" xfId="0" applyNumberFormat="1" applyFont="1" applyFill="1" applyBorder="1" applyAlignment="1">
      <alignment horizontal="center" vertical="center" wrapText="1"/>
    </xf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8" fillId="4" borderId="2" xfId="0" applyFont="1" applyFill="1" applyBorder="1" applyAlignment="1">
      <alignment horizontal="left" vertical="center" wrapText="1"/>
    </xf>
    <xf numFmtId="0" fontId="10" fillId="0" borderId="3" xfId="0" applyFont="1" applyBorder="1"/>
    <xf numFmtId="0" fontId="10" fillId="0" borderId="4" xfId="0" applyFont="1" applyBorder="1"/>
    <xf numFmtId="0" fontId="6" fillId="0" borderId="0" xfId="0" applyFont="1"/>
    <xf numFmtId="44" fontId="0" fillId="0" borderId="0" xfId="1" applyFont="1"/>
    <xf numFmtId="44" fontId="0" fillId="0" borderId="0" xfId="0" applyNumberFormat="1"/>
    <xf numFmtId="0" fontId="1" fillId="0" borderId="0" xfId="0" applyFont="1" applyAlignme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68888</xdr:rowOff>
    </xdr:from>
    <xdr:to>
      <xdr:col>7</xdr:col>
      <xdr:colOff>234995</xdr:colOff>
      <xdr:row>37</xdr:row>
      <xdr:rowOff>114300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D0EC5C7-C4CB-9DA2-25DA-AD92936064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0138"/>
          <a:ext cx="10296570" cy="43888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B2872-B59A-4F5F-AB28-F508AD4F426A}">
  <sheetPr>
    <tabColor rgb="FFFFC000"/>
  </sheetPr>
  <dimension ref="A1:K12"/>
  <sheetViews>
    <sheetView topLeftCell="A3" workbookViewId="0">
      <selection activeCell="D12" sqref="D12"/>
    </sheetView>
  </sheetViews>
  <sheetFormatPr defaultRowHeight="14.5" x14ac:dyDescent="0.35"/>
  <cols>
    <col min="1" max="1" width="24.26953125" customWidth="1"/>
    <col min="2" max="2" width="20.453125" customWidth="1"/>
    <col min="3" max="3" width="10.90625" customWidth="1"/>
    <col min="4" max="4" width="17.6328125" customWidth="1"/>
    <col min="5" max="5" width="24.453125" customWidth="1"/>
    <col min="6" max="6" width="37.6328125" customWidth="1"/>
    <col min="10" max="10" width="16.08984375" customWidth="1"/>
    <col min="11" max="11" width="19.26953125" customWidth="1"/>
  </cols>
  <sheetData>
    <row r="1" spans="1:11" ht="16.5" customHeight="1" x14ac:dyDescent="0.35">
      <c r="A1" s="4" t="s">
        <v>137</v>
      </c>
      <c r="B1" s="4" t="s">
        <v>138</v>
      </c>
      <c r="D1" s="4" t="s">
        <v>7</v>
      </c>
      <c r="E1" s="4" t="s">
        <v>8</v>
      </c>
      <c r="F1" s="4" t="s">
        <v>9</v>
      </c>
    </row>
    <row r="2" spans="1:11" x14ac:dyDescent="0.35">
      <c r="A2">
        <v>58</v>
      </c>
      <c r="B2" t="s">
        <v>146</v>
      </c>
      <c r="J2" s="36">
        <v>8757</v>
      </c>
      <c r="K2" s="36">
        <f>A2*J2</f>
        <v>507906</v>
      </c>
    </row>
    <row r="3" spans="1:11" x14ac:dyDescent="0.35">
      <c r="A3">
        <v>77</v>
      </c>
      <c r="B3" t="s">
        <v>147</v>
      </c>
    </row>
    <row r="4" spans="1:11" x14ac:dyDescent="0.35">
      <c r="A4">
        <v>11</v>
      </c>
      <c r="B4" t="s">
        <v>149</v>
      </c>
    </row>
    <row r="7" spans="1:11" x14ac:dyDescent="0.35">
      <c r="A7" s="4" t="s">
        <v>139</v>
      </c>
      <c r="B7" s="4" t="s">
        <v>140</v>
      </c>
      <c r="D7" s="4" t="s">
        <v>148</v>
      </c>
      <c r="E7" s="4" t="s">
        <v>150</v>
      </c>
      <c r="F7" s="4" t="s">
        <v>154</v>
      </c>
    </row>
    <row r="8" spans="1:11" x14ac:dyDescent="0.35">
      <c r="A8" t="s">
        <v>141</v>
      </c>
      <c r="B8" s="36">
        <v>294389.15000000002</v>
      </c>
      <c r="D8" s="37">
        <f>SUM(B8:B12)</f>
        <v>365147.57</v>
      </c>
      <c r="E8" s="37">
        <f>D8 / (SUM(A2:A4))</f>
        <v>2501.0107534246577</v>
      </c>
      <c r="F8" s="37">
        <f>25*E8</f>
        <v>62525.268835616444</v>
      </c>
    </row>
    <row r="9" spans="1:11" x14ac:dyDescent="0.35">
      <c r="A9" t="s">
        <v>142</v>
      </c>
      <c r="B9" s="36">
        <v>52116.93</v>
      </c>
    </row>
    <row r="10" spans="1:11" x14ac:dyDescent="0.35">
      <c r="A10" t="s">
        <v>143</v>
      </c>
      <c r="B10" s="36">
        <v>12333.58</v>
      </c>
    </row>
    <row r="11" spans="1:11" x14ac:dyDescent="0.35">
      <c r="A11" t="s">
        <v>144</v>
      </c>
      <c r="B11" s="36">
        <v>4212.22</v>
      </c>
    </row>
    <row r="12" spans="1:11" x14ac:dyDescent="0.35">
      <c r="A12" t="s">
        <v>145</v>
      </c>
      <c r="B12" s="36">
        <v>2095.69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9"/>
  </sheetPr>
  <dimension ref="A1:F998"/>
  <sheetViews>
    <sheetView tabSelected="1" workbookViewId="0">
      <pane xSplit="1" ySplit="4" topLeftCell="B34" activePane="bottomRight" state="frozen"/>
      <selection pane="topRight" activeCell="B1" sqref="B1"/>
      <selection pane="bottomLeft" activeCell="A5" sqref="A5"/>
      <selection pane="bottomRight" activeCell="A26" sqref="A26"/>
    </sheetView>
  </sheetViews>
  <sheetFormatPr defaultColWidth="14.453125" defaultRowHeight="15" customHeight="1" x14ac:dyDescent="0.35"/>
  <cols>
    <col min="1" max="1" width="42" customWidth="1"/>
    <col min="2" max="4" width="18" customWidth="1"/>
    <col min="5" max="5" width="14" customWidth="1"/>
    <col min="6" max="6" width="50.453125" customWidth="1"/>
    <col min="7" max="25" width="8.7265625" customWidth="1"/>
  </cols>
  <sheetData>
    <row r="1" spans="1:6" ht="18" x14ac:dyDescent="0.4">
      <c r="A1" s="38" t="s">
        <v>3</v>
      </c>
      <c r="B1" s="38"/>
      <c r="C1" s="38"/>
      <c r="D1" s="38"/>
      <c r="E1" s="38"/>
      <c r="F1" s="38"/>
    </row>
    <row r="2" spans="1:6" ht="14.5" x14ac:dyDescent="0.35">
      <c r="A2" s="30"/>
      <c r="B2" s="28"/>
      <c r="C2" s="28"/>
      <c r="D2" s="28"/>
      <c r="E2" s="28"/>
      <c r="F2" s="28"/>
    </row>
    <row r="4" spans="1:6" ht="14.5" x14ac:dyDescent="0.35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</row>
    <row r="5" spans="1:6" ht="15" customHeight="1" x14ac:dyDescent="0.35">
      <c r="A5" s="32" t="s">
        <v>10</v>
      </c>
      <c r="B5" s="33"/>
      <c r="C5" s="33"/>
      <c r="D5" s="33"/>
      <c r="E5" s="33"/>
      <c r="F5" s="34"/>
    </row>
    <row r="6" spans="1:6" ht="14.5" x14ac:dyDescent="0.35">
      <c r="A6" s="5" t="s">
        <v>11</v>
      </c>
      <c r="B6" s="6">
        <v>30000</v>
      </c>
      <c r="C6" s="6">
        <v>0</v>
      </c>
      <c r="D6" s="7">
        <f t="shared" ref="D6:D9" si="0">B6-C6</f>
        <v>30000</v>
      </c>
      <c r="E6" s="8">
        <f t="shared" ref="E6:E10" si="1">IF(B6=0,0,(B6-C6)/B6)</f>
        <v>1</v>
      </c>
      <c r="F6" s="9" t="s">
        <v>12</v>
      </c>
    </row>
    <row r="7" spans="1:6" ht="14.5" x14ac:dyDescent="0.35">
      <c r="A7" s="5" t="s">
        <v>13</v>
      </c>
      <c r="B7" s="6">
        <v>4200</v>
      </c>
      <c r="C7" s="6">
        <v>0</v>
      </c>
      <c r="D7" s="7">
        <f t="shared" si="0"/>
        <v>4200</v>
      </c>
      <c r="E7" s="8">
        <f t="shared" si="1"/>
        <v>1</v>
      </c>
      <c r="F7" s="9" t="s">
        <v>14</v>
      </c>
    </row>
    <row r="8" spans="1:6" ht="14.5" x14ac:dyDescent="0.35">
      <c r="A8" s="10" t="s">
        <v>15</v>
      </c>
      <c r="B8" s="6">
        <v>0</v>
      </c>
      <c r="C8" s="6">
        <v>4000</v>
      </c>
      <c r="D8" s="7">
        <f t="shared" si="0"/>
        <v>-4000</v>
      </c>
      <c r="E8" s="8">
        <f t="shared" si="1"/>
        <v>0</v>
      </c>
      <c r="F8" s="9" t="s">
        <v>16</v>
      </c>
    </row>
    <row r="9" spans="1:6" ht="14.5" x14ac:dyDescent="0.35">
      <c r="A9" s="10" t="s">
        <v>17</v>
      </c>
      <c r="B9" s="6">
        <v>0</v>
      </c>
      <c r="C9" s="6">
        <v>800</v>
      </c>
      <c r="D9" s="7">
        <f t="shared" si="0"/>
        <v>-800</v>
      </c>
      <c r="E9" s="8">
        <f t="shared" si="1"/>
        <v>0</v>
      </c>
      <c r="F9" s="9" t="s">
        <v>18</v>
      </c>
    </row>
    <row r="10" spans="1:6" thickBot="1" x14ac:dyDescent="0.4">
      <c r="A10" s="11" t="s">
        <v>19</v>
      </c>
      <c r="B10" s="12">
        <f t="shared" ref="B10:D10" si="2">SUM(B6:B9)</f>
        <v>34200</v>
      </c>
      <c r="C10" s="12">
        <f t="shared" si="2"/>
        <v>4800</v>
      </c>
      <c r="D10" s="12">
        <f t="shared" si="2"/>
        <v>29400</v>
      </c>
      <c r="E10" s="13">
        <f t="shared" si="1"/>
        <v>0.85964912280701755</v>
      </c>
      <c r="F10" s="14"/>
    </row>
    <row r="11" spans="1:6" ht="15" customHeight="1" x14ac:dyDescent="0.35">
      <c r="A11" s="32" t="s">
        <v>20</v>
      </c>
      <c r="B11" s="33"/>
      <c r="C11" s="33"/>
      <c r="D11" s="33"/>
      <c r="E11" s="33"/>
      <c r="F11" s="34"/>
    </row>
    <row r="12" spans="1:6" ht="14.5" x14ac:dyDescent="0.35">
      <c r="A12" s="5" t="s">
        <v>21</v>
      </c>
      <c r="B12" s="6">
        <v>0</v>
      </c>
      <c r="C12" s="6">
        <v>0</v>
      </c>
      <c r="D12" s="7">
        <f t="shared" ref="D12:D15" si="3">B12-C12</f>
        <v>0</v>
      </c>
      <c r="E12" s="8">
        <f t="shared" ref="E12:E16" si="4">IF(B12=0,0,(B12-C12)/B12)</f>
        <v>0</v>
      </c>
      <c r="F12" s="9" t="s">
        <v>22</v>
      </c>
    </row>
    <row r="13" spans="1:6" ht="14.5" x14ac:dyDescent="0.35">
      <c r="A13" s="5" t="s">
        <v>23</v>
      </c>
      <c r="B13" s="6">
        <v>1200</v>
      </c>
      <c r="C13" s="6">
        <v>0</v>
      </c>
      <c r="D13" s="7">
        <f t="shared" si="3"/>
        <v>1200</v>
      </c>
      <c r="E13" s="8">
        <f t="shared" si="4"/>
        <v>1</v>
      </c>
      <c r="F13" s="9" t="s">
        <v>24</v>
      </c>
    </row>
    <row r="14" spans="1:6" ht="14.5" x14ac:dyDescent="0.35">
      <c r="A14" s="10" t="s">
        <v>25</v>
      </c>
      <c r="B14" s="6">
        <v>0</v>
      </c>
      <c r="C14" s="6">
        <v>1800</v>
      </c>
      <c r="D14" s="7">
        <f t="shared" si="3"/>
        <v>-1800</v>
      </c>
      <c r="E14" s="8">
        <f t="shared" si="4"/>
        <v>0</v>
      </c>
      <c r="F14" s="9" t="s">
        <v>152</v>
      </c>
    </row>
    <row r="15" spans="1:6" ht="14.5" x14ac:dyDescent="0.35">
      <c r="A15" s="15" t="s">
        <v>26</v>
      </c>
      <c r="B15" s="6">
        <v>0</v>
      </c>
      <c r="C15" s="6">
        <v>650</v>
      </c>
      <c r="D15" s="7">
        <f t="shared" si="3"/>
        <v>-650</v>
      </c>
      <c r="E15" s="8">
        <f t="shared" si="4"/>
        <v>0</v>
      </c>
      <c r="F15" s="9" t="s">
        <v>27</v>
      </c>
    </row>
    <row r="16" spans="1:6" thickBot="1" x14ac:dyDescent="0.4">
      <c r="A16" s="11" t="s">
        <v>28</v>
      </c>
      <c r="B16" s="12">
        <f t="shared" ref="B16:D16" si="5">SUM(B12:B15)</f>
        <v>1200</v>
      </c>
      <c r="C16" s="12">
        <f t="shared" si="5"/>
        <v>2450</v>
      </c>
      <c r="D16" s="12">
        <f t="shared" si="5"/>
        <v>-1250</v>
      </c>
      <c r="E16" s="13">
        <f t="shared" si="4"/>
        <v>-1.0416666666666667</v>
      </c>
      <c r="F16" s="14"/>
    </row>
    <row r="17" spans="1:6" ht="15" customHeight="1" x14ac:dyDescent="0.35">
      <c r="A17" s="32" t="s">
        <v>29</v>
      </c>
      <c r="B17" s="33"/>
      <c r="C17" s="33"/>
      <c r="D17" s="33"/>
      <c r="E17" s="33"/>
      <c r="F17" s="34"/>
    </row>
    <row r="18" spans="1:6" ht="14.5" x14ac:dyDescent="0.35">
      <c r="A18" s="5" t="s">
        <v>30</v>
      </c>
      <c r="B18" s="6">
        <v>300</v>
      </c>
      <c r="C18" s="6">
        <v>0</v>
      </c>
      <c r="D18" s="7">
        <f t="shared" ref="D18:D20" si="6">B18-C18</f>
        <v>300</v>
      </c>
      <c r="E18" s="8">
        <f t="shared" ref="E18:E21" si="7">IF(B18=0,0,(B18-C18)/B18)</f>
        <v>1</v>
      </c>
      <c r="F18" s="9" t="s">
        <v>31</v>
      </c>
    </row>
    <row r="19" spans="1:6" ht="15.75" customHeight="1" x14ac:dyDescent="0.35">
      <c r="A19" s="10" t="s">
        <v>32</v>
      </c>
      <c r="B19" s="6">
        <v>0</v>
      </c>
      <c r="C19" s="6">
        <v>0</v>
      </c>
      <c r="D19" s="7">
        <f t="shared" si="6"/>
        <v>0</v>
      </c>
      <c r="E19" s="8">
        <f t="shared" si="7"/>
        <v>0</v>
      </c>
      <c r="F19" s="9" t="s">
        <v>33</v>
      </c>
    </row>
    <row r="20" spans="1:6" ht="15.75" customHeight="1" x14ac:dyDescent="0.35">
      <c r="A20" s="15" t="s">
        <v>34</v>
      </c>
      <c r="B20" s="6">
        <v>0</v>
      </c>
      <c r="C20" s="6">
        <v>1500</v>
      </c>
      <c r="D20" s="7">
        <f t="shared" si="6"/>
        <v>-1500</v>
      </c>
      <c r="E20" s="8">
        <f t="shared" si="7"/>
        <v>0</v>
      </c>
      <c r="F20" s="9" t="s">
        <v>35</v>
      </c>
    </row>
    <row r="21" spans="1:6" ht="15.75" customHeight="1" thickBot="1" x14ac:dyDescent="0.4">
      <c r="A21" s="11" t="s">
        <v>36</v>
      </c>
      <c r="B21" s="12">
        <f t="shared" ref="B21:D21" si="8">SUM(B18:B20)</f>
        <v>300</v>
      </c>
      <c r="C21" s="12">
        <f t="shared" si="8"/>
        <v>1500</v>
      </c>
      <c r="D21" s="12">
        <f t="shared" si="8"/>
        <v>-1200</v>
      </c>
      <c r="E21" s="13">
        <f t="shared" si="7"/>
        <v>-4</v>
      </c>
      <c r="F21" s="14"/>
    </row>
    <row r="22" spans="1:6" ht="15" customHeight="1" x14ac:dyDescent="0.35">
      <c r="A22" s="32" t="s">
        <v>37</v>
      </c>
      <c r="B22" s="33"/>
      <c r="C22" s="33"/>
      <c r="D22" s="33"/>
      <c r="E22" s="33"/>
      <c r="F22" s="34"/>
    </row>
    <row r="23" spans="1:6" ht="15.75" customHeight="1" x14ac:dyDescent="0.35">
      <c r="A23" s="15" t="s">
        <v>38</v>
      </c>
      <c r="B23" s="6">
        <v>2800</v>
      </c>
      <c r="C23" s="6">
        <v>0</v>
      </c>
      <c r="D23" s="7">
        <f t="shared" ref="D23:D27" si="9">B23-C23</f>
        <v>2800</v>
      </c>
      <c r="E23" s="8">
        <f t="shared" ref="E23:E28" si="10">IF(B23=0,0,(B23-C23)/B23)</f>
        <v>1</v>
      </c>
      <c r="F23" s="9" t="s">
        <v>151</v>
      </c>
    </row>
    <row r="24" spans="1:6" ht="15.75" customHeight="1" x14ac:dyDescent="0.35">
      <c r="A24" s="15" t="s">
        <v>39</v>
      </c>
      <c r="B24" s="6">
        <v>0</v>
      </c>
      <c r="C24" s="6">
        <v>500</v>
      </c>
      <c r="D24" s="7">
        <f t="shared" si="9"/>
        <v>-500</v>
      </c>
      <c r="E24" s="8">
        <f t="shared" si="10"/>
        <v>0</v>
      </c>
      <c r="F24" s="9" t="s">
        <v>40</v>
      </c>
    </row>
    <row r="25" spans="1:6" ht="15.75" customHeight="1" x14ac:dyDescent="0.35">
      <c r="A25" s="15" t="s">
        <v>41</v>
      </c>
      <c r="B25" s="6">
        <v>0</v>
      </c>
      <c r="C25" s="6">
        <v>0</v>
      </c>
      <c r="D25" s="7">
        <f t="shared" si="9"/>
        <v>0</v>
      </c>
      <c r="E25" s="8">
        <f t="shared" si="10"/>
        <v>0</v>
      </c>
      <c r="F25" s="9" t="s">
        <v>42</v>
      </c>
    </row>
    <row r="26" spans="1:6" ht="15.75" customHeight="1" x14ac:dyDescent="0.35">
      <c r="A26" s="15" t="s">
        <v>43</v>
      </c>
      <c r="B26" s="6">
        <v>420</v>
      </c>
      <c r="C26" s="6">
        <v>0</v>
      </c>
      <c r="D26" s="7">
        <f t="shared" si="9"/>
        <v>420</v>
      </c>
      <c r="E26" s="8">
        <f t="shared" si="10"/>
        <v>1</v>
      </c>
      <c r="F26" s="9"/>
    </row>
    <row r="27" spans="1:6" ht="15.75" customHeight="1" x14ac:dyDescent="0.35">
      <c r="A27" s="15" t="s">
        <v>44</v>
      </c>
      <c r="B27" s="6">
        <v>0</v>
      </c>
      <c r="C27" s="6">
        <v>420</v>
      </c>
      <c r="D27" s="7">
        <f t="shared" si="9"/>
        <v>-420</v>
      </c>
      <c r="E27" s="8">
        <f t="shared" si="10"/>
        <v>0</v>
      </c>
      <c r="F27" s="9" t="s">
        <v>45</v>
      </c>
    </row>
    <row r="28" spans="1:6" ht="15.75" customHeight="1" thickBot="1" x14ac:dyDescent="0.4">
      <c r="A28" s="11" t="s">
        <v>46</v>
      </c>
      <c r="B28" s="12">
        <f t="shared" ref="B28:D28" si="11">SUM(B23:B27)</f>
        <v>3220</v>
      </c>
      <c r="C28" s="12">
        <f t="shared" si="11"/>
        <v>920</v>
      </c>
      <c r="D28" s="12">
        <f t="shared" si="11"/>
        <v>2300</v>
      </c>
      <c r="E28" s="13">
        <f t="shared" si="10"/>
        <v>0.7142857142857143</v>
      </c>
      <c r="F28" s="14"/>
    </row>
    <row r="29" spans="1:6" ht="15" customHeight="1" x14ac:dyDescent="0.35">
      <c r="A29" s="32" t="s">
        <v>47</v>
      </c>
      <c r="B29" s="33"/>
      <c r="C29" s="33"/>
      <c r="D29" s="33"/>
      <c r="E29" s="33"/>
      <c r="F29" s="34"/>
    </row>
    <row r="30" spans="1:6" ht="15.75" customHeight="1" x14ac:dyDescent="0.35">
      <c r="A30" s="15" t="s">
        <v>48</v>
      </c>
      <c r="B30" s="6">
        <v>1200</v>
      </c>
      <c r="C30" s="6">
        <v>0</v>
      </c>
      <c r="D30" s="7">
        <f t="shared" ref="D30:D36" si="12">B30-C30</f>
        <v>1200</v>
      </c>
      <c r="E30" s="8">
        <f t="shared" ref="E30:E37" si="13">IF(B30=0,0,(B30-C30)/B30)</f>
        <v>1</v>
      </c>
      <c r="F30" s="9"/>
    </row>
    <row r="31" spans="1:6" ht="15.75" customHeight="1" x14ac:dyDescent="0.35">
      <c r="A31" s="15" t="s">
        <v>49</v>
      </c>
      <c r="B31" s="6">
        <v>0</v>
      </c>
      <c r="C31" s="6">
        <v>1200</v>
      </c>
      <c r="D31" s="7">
        <f t="shared" si="12"/>
        <v>-1200</v>
      </c>
      <c r="E31" s="8">
        <f t="shared" si="13"/>
        <v>0</v>
      </c>
      <c r="F31" s="9" t="s">
        <v>153</v>
      </c>
    </row>
    <row r="32" spans="1:6" ht="15.75" customHeight="1" x14ac:dyDescent="0.35">
      <c r="A32" s="15" t="s">
        <v>50</v>
      </c>
      <c r="B32" s="6">
        <v>0</v>
      </c>
      <c r="C32" s="6">
        <v>1000</v>
      </c>
      <c r="D32" s="7">
        <f t="shared" si="12"/>
        <v>-1000</v>
      </c>
      <c r="E32" s="8">
        <f t="shared" si="13"/>
        <v>0</v>
      </c>
      <c r="F32" s="9"/>
    </row>
    <row r="33" spans="1:6" ht="15.75" customHeight="1" x14ac:dyDescent="0.35">
      <c r="A33" s="15" t="s">
        <v>51</v>
      </c>
      <c r="B33" s="6">
        <v>0</v>
      </c>
      <c r="C33" s="6">
        <v>150</v>
      </c>
      <c r="D33" s="7">
        <f t="shared" si="12"/>
        <v>-150</v>
      </c>
      <c r="E33" s="8">
        <f t="shared" si="13"/>
        <v>0</v>
      </c>
      <c r="F33" s="9"/>
    </row>
    <row r="34" spans="1:6" ht="15.75" customHeight="1" x14ac:dyDescent="0.35">
      <c r="A34" s="15" t="s">
        <v>52</v>
      </c>
      <c r="B34" s="6">
        <v>0</v>
      </c>
      <c r="C34" s="6">
        <v>0</v>
      </c>
      <c r="D34" s="7">
        <f t="shared" si="12"/>
        <v>0</v>
      </c>
      <c r="E34" s="8">
        <f t="shared" si="13"/>
        <v>0</v>
      </c>
      <c r="F34" s="9"/>
    </row>
    <row r="35" spans="1:6" ht="15.75" customHeight="1" x14ac:dyDescent="0.35">
      <c r="A35" s="15" t="s">
        <v>53</v>
      </c>
      <c r="B35" s="6">
        <v>0</v>
      </c>
      <c r="C35" s="6">
        <v>0</v>
      </c>
      <c r="D35" s="7">
        <f t="shared" si="12"/>
        <v>0</v>
      </c>
      <c r="E35" s="8">
        <f t="shared" si="13"/>
        <v>0</v>
      </c>
      <c r="F35" s="9" t="s">
        <v>54</v>
      </c>
    </row>
    <row r="36" spans="1:6" ht="15.75" customHeight="1" x14ac:dyDescent="0.35">
      <c r="A36" s="15" t="s">
        <v>55</v>
      </c>
      <c r="B36" s="6">
        <v>0</v>
      </c>
      <c r="C36" s="6">
        <v>0</v>
      </c>
      <c r="D36" s="7">
        <f t="shared" si="12"/>
        <v>0</v>
      </c>
      <c r="E36" s="8">
        <f t="shared" si="13"/>
        <v>0</v>
      </c>
      <c r="F36" s="9" t="s">
        <v>56</v>
      </c>
    </row>
    <row r="37" spans="1:6" ht="15.75" customHeight="1" thickBot="1" x14ac:dyDescent="0.4">
      <c r="A37" s="11" t="s">
        <v>57</v>
      </c>
      <c r="B37" s="12">
        <f t="shared" ref="B37:D37" si="14">SUM(B30:B36)</f>
        <v>1200</v>
      </c>
      <c r="C37" s="12">
        <f t="shared" si="14"/>
        <v>2350</v>
      </c>
      <c r="D37" s="12">
        <f t="shared" si="14"/>
        <v>-1150</v>
      </c>
      <c r="E37" s="13">
        <f t="shared" si="13"/>
        <v>-0.95833333333333337</v>
      </c>
      <c r="F37" s="14"/>
    </row>
    <row r="38" spans="1:6" ht="15" customHeight="1" x14ac:dyDescent="0.35">
      <c r="A38" s="32" t="s">
        <v>58</v>
      </c>
      <c r="B38" s="33"/>
      <c r="C38" s="33"/>
      <c r="D38" s="33"/>
      <c r="E38" s="33"/>
      <c r="F38" s="34"/>
    </row>
    <row r="39" spans="1:6" ht="15.75" customHeight="1" x14ac:dyDescent="0.35">
      <c r="A39" s="15" t="s">
        <v>59</v>
      </c>
      <c r="B39" s="6">
        <v>4350</v>
      </c>
      <c r="C39" s="6">
        <v>0</v>
      </c>
      <c r="D39" s="7">
        <f t="shared" ref="D39:D44" si="15">B39-C39</f>
        <v>4350</v>
      </c>
      <c r="E39" s="8">
        <f t="shared" ref="E39:E45" si="16">IF(B39=0,0,(B39-C39)/B39)</f>
        <v>1</v>
      </c>
      <c r="F39" s="9"/>
    </row>
    <row r="40" spans="1:6" ht="15.75" customHeight="1" x14ac:dyDescent="0.35">
      <c r="A40" s="10" t="s">
        <v>60</v>
      </c>
      <c r="B40" s="6">
        <v>0</v>
      </c>
      <c r="C40" s="6">
        <v>0</v>
      </c>
      <c r="D40" s="7">
        <f t="shared" si="15"/>
        <v>0</v>
      </c>
      <c r="E40" s="8">
        <f t="shared" si="16"/>
        <v>0</v>
      </c>
      <c r="F40" s="9" t="s">
        <v>61</v>
      </c>
    </row>
    <row r="41" spans="1:6" ht="15.75" customHeight="1" x14ac:dyDescent="0.35">
      <c r="A41" s="15" t="s">
        <v>62</v>
      </c>
      <c r="B41" s="6">
        <v>190</v>
      </c>
      <c r="C41" s="6">
        <v>0</v>
      </c>
      <c r="D41" s="7">
        <f t="shared" si="15"/>
        <v>190</v>
      </c>
      <c r="E41" s="8">
        <f t="shared" si="16"/>
        <v>1</v>
      </c>
      <c r="F41" s="9"/>
    </row>
    <row r="42" spans="1:6" ht="15.75" customHeight="1" x14ac:dyDescent="0.35">
      <c r="A42" s="15" t="s">
        <v>63</v>
      </c>
      <c r="B42" s="6">
        <v>0</v>
      </c>
      <c r="C42" s="6">
        <v>280</v>
      </c>
      <c r="D42" s="7">
        <f t="shared" si="15"/>
        <v>-280</v>
      </c>
      <c r="E42" s="8">
        <f t="shared" si="16"/>
        <v>0</v>
      </c>
      <c r="F42" s="9" t="s">
        <v>64</v>
      </c>
    </row>
    <row r="43" spans="1:6" ht="15.75" customHeight="1" x14ac:dyDescent="0.35">
      <c r="A43" s="15" t="s">
        <v>65</v>
      </c>
      <c r="B43" s="6">
        <v>0</v>
      </c>
      <c r="C43" s="6">
        <v>40</v>
      </c>
      <c r="D43" s="7">
        <f t="shared" si="15"/>
        <v>-40</v>
      </c>
      <c r="E43" s="8">
        <f t="shared" si="16"/>
        <v>0</v>
      </c>
      <c r="F43" s="9" t="s">
        <v>66</v>
      </c>
    </row>
    <row r="44" spans="1:6" ht="15.75" customHeight="1" x14ac:dyDescent="0.35">
      <c r="A44" s="15" t="s">
        <v>67</v>
      </c>
      <c r="B44" s="6">
        <v>0</v>
      </c>
      <c r="C44" s="6">
        <v>200</v>
      </c>
      <c r="D44" s="7">
        <f t="shared" si="15"/>
        <v>-200</v>
      </c>
      <c r="E44" s="8">
        <f t="shared" si="16"/>
        <v>0</v>
      </c>
      <c r="F44" s="9"/>
    </row>
    <row r="45" spans="1:6" ht="15.75" customHeight="1" thickBot="1" x14ac:dyDescent="0.4">
      <c r="A45" s="11" t="s">
        <v>68</v>
      </c>
      <c r="B45" s="12">
        <f t="shared" ref="B45:D45" si="17">SUM(B39:B44)</f>
        <v>4540</v>
      </c>
      <c r="C45" s="12">
        <f t="shared" si="17"/>
        <v>520</v>
      </c>
      <c r="D45" s="12">
        <f t="shared" si="17"/>
        <v>4020</v>
      </c>
      <c r="E45" s="13">
        <f t="shared" si="16"/>
        <v>0.88546255506607929</v>
      </c>
      <c r="F45" s="14"/>
    </row>
    <row r="46" spans="1:6" ht="15" customHeight="1" x14ac:dyDescent="0.35">
      <c r="A46" s="32" t="s">
        <v>69</v>
      </c>
      <c r="B46" s="33"/>
      <c r="C46" s="33"/>
      <c r="D46" s="33"/>
      <c r="E46" s="33"/>
      <c r="F46" s="34"/>
    </row>
    <row r="47" spans="1:6" ht="15.75" customHeight="1" x14ac:dyDescent="0.35">
      <c r="A47" s="5" t="s">
        <v>70</v>
      </c>
      <c r="B47" s="6">
        <v>1500</v>
      </c>
      <c r="C47" s="6">
        <v>0</v>
      </c>
      <c r="D47" s="7">
        <f t="shared" ref="D47:D50" si="18">B47-C47</f>
        <v>1500</v>
      </c>
      <c r="E47" s="8">
        <f t="shared" ref="E47:E51" si="19">IF(B47=0,0,(B47-C47)/B47)</f>
        <v>1</v>
      </c>
      <c r="F47" s="9" t="s">
        <v>71</v>
      </c>
    </row>
    <row r="48" spans="1:6" ht="15.75" customHeight="1" x14ac:dyDescent="0.35">
      <c r="A48" s="5" t="s">
        <v>72</v>
      </c>
      <c r="B48" s="6">
        <v>1500</v>
      </c>
      <c r="C48" s="6">
        <v>0</v>
      </c>
      <c r="D48" s="7">
        <f t="shared" si="18"/>
        <v>1500</v>
      </c>
      <c r="E48" s="8">
        <f t="shared" si="19"/>
        <v>1</v>
      </c>
      <c r="F48" s="9" t="s">
        <v>73</v>
      </c>
    </row>
    <row r="49" spans="1:6" ht="15.75" customHeight="1" x14ac:dyDescent="0.35">
      <c r="A49" s="5" t="s">
        <v>74</v>
      </c>
      <c r="B49" s="6">
        <v>1000</v>
      </c>
      <c r="C49" s="6">
        <v>0</v>
      </c>
      <c r="D49" s="7">
        <f t="shared" si="18"/>
        <v>1000</v>
      </c>
      <c r="E49" s="8">
        <f t="shared" si="19"/>
        <v>1</v>
      </c>
      <c r="F49" s="9" t="s">
        <v>75</v>
      </c>
    </row>
    <row r="50" spans="1:6" ht="15.75" customHeight="1" x14ac:dyDescent="0.35">
      <c r="A50" s="5" t="s">
        <v>76</v>
      </c>
      <c r="B50" s="6">
        <v>600</v>
      </c>
      <c r="C50" s="6">
        <v>0</v>
      </c>
      <c r="D50" s="7">
        <f t="shared" si="18"/>
        <v>600</v>
      </c>
      <c r="E50" s="8">
        <f t="shared" si="19"/>
        <v>1</v>
      </c>
      <c r="F50" s="9" t="s">
        <v>77</v>
      </c>
    </row>
    <row r="51" spans="1:6" ht="15.75" customHeight="1" thickBot="1" x14ac:dyDescent="0.4">
      <c r="A51" s="11" t="s">
        <v>78</v>
      </c>
      <c r="B51" s="12">
        <f t="shared" ref="B51:D51" si="20">SUM(B47:B50)</f>
        <v>4600</v>
      </c>
      <c r="C51" s="12">
        <f t="shared" si="20"/>
        <v>0</v>
      </c>
      <c r="D51" s="12">
        <f t="shared" si="20"/>
        <v>4600</v>
      </c>
      <c r="E51" s="13">
        <f t="shared" si="19"/>
        <v>1</v>
      </c>
      <c r="F51" s="14"/>
    </row>
    <row r="52" spans="1:6" ht="15.75" customHeight="1" x14ac:dyDescent="0.35"/>
    <row r="53" spans="1:6" ht="15.75" customHeight="1" x14ac:dyDescent="0.35">
      <c r="A53" s="17" t="s">
        <v>79</v>
      </c>
      <c r="B53" s="18">
        <f t="shared" ref="B53:D53" si="21">B10+B16+B21+B28+B37+B45+B51</f>
        <v>49260</v>
      </c>
      <c r="C53" s="18">
        <f t="shared" si="21"/>
        <v>12540</v>
      </c>
      <c r="D53" s="18">
        <f t="shared" si="21"/>
        <v>36720</v>
      </c>
      <c r="E53" s="19">
        <f>IF(B53=0,0,(B53-C53)/B53)</f>
        <v>0.74543239951278928</v>
      </c>
      <c r="F53" s="16"/>
    </row>
    <row r="54" spans="1:6" ht="15.75" customHeight="1" x14ac:dyDescent="0.35"/>
    <row r="55" spans="1:6" ht="15.75" customHeight="1" x14ac:dyDescent="0.35">
      <c r="A55" s="31" t="s">
        <v>80</v>
      </c>
      <c r="B55" s="28"/>
      <c r="C55" s="28"/>
      <c r="D55" s="28"/>
      <c r="E55" s="28"/>
      <c r="F55" s="28"/>
    </row>
    <row r="56" spans="1:6" ht="15.75" customHeight="1" x14ac:dyDescent="0.35">
      <c r="A56" s="1" t="s">
        <v>81</v>
      </c>
      <c r="B56" s="20">
        <f>B53*12</f>
        <v>591120</v>
      </c>
    </row>
    <row r="57" spans="1:6" ht="15.75" customHeight="1" x14ac:dyDescent="0.35">
      <c r="A57" s="1" t="s">
        <v>82</v>
      </c>
      <c r="B57" s="20">
        <f>C53*12</f>
        <v>150480</v>
      </c>
    </row>
    <row r="58" spans="1:6" ht="15.75" customHeight="1" x14ac:dyDescent="0.35">
      <c r="A58" s="1" t="s">
        <v>83</v>
      </c>
      <c r="B58" s="2">
        <f>D53*12</f>
        <v>440640</v>
      </c>
    </row>
    <row r="59" spans="1:6" ht="15.75" customHeight="1" x14ac:dyDescent="0.35"/>
    <row r="60" spans="1:6" ht="15.75" customHeight="1" x14ac:dyDescent="0.35"/>
    <row r="61" spans="1:6" ht="15.75" customHeight="1" x14ac:dyDescent="0.35"/>
    <row r="62" spans="1:6" ht="15.75" customHeight="1" x14ac:dyDescent="0.35"/>
    <row r="63" spans="1:6" ht="15.75" customHeight="1" x14ac:dyDescent="0.35"/>
    <row r="64" spans="1:6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</sheetData>
  <dataConsolidate/>
  <mergeCells count="9">
    <mergeCell ref="A38:F38"/>
    <mergeCell ref="A46:F46"/>
    <mergeCell ref="A55:F55"/>
    <mergeCell ref="A2:F2"/>
    <mergeCell ref="A5:F5"/>
    <mergeCell ref="A11:F11"/>
    <mergeCell ref="A17:F17"/>
    <mergeCell ref="A22:F22"/>
    <mergeCell ref="A29:F29"/>
  </mergeCells>
  <pageMargins left="0.75" right="0.75" top="1" bottom="1" header="0" footer="0"/>
  <pageSetup orientation="landscape"/>
  <headerFooter>
    <oddHeader>&amp;L&amp;"Aptos"&amp;10&amp;K000000 Interno - Techfin&amp;1#_x000D_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100"/>
  </sheetPr>
  <dimension ref="A1:B998"/>
  <sheetViews>
    <sheetView workbookViewId="0">
      <selection activeCell="B17" sqref="B17"/>
    </sheetView>
  </sheetViews>
  <sheetFormatPr defaultColWidth="14.453125" defaultRowHeight="15" customHeight="1" x14ac:dyDescent="0.35"/>
  <cols>
    <col min="1" max="1" width="48.54296875" customWidth="1"/>
    <col min="2" max="2" width="91.54296875" customWidth="1"/>
    <col min="3" max="23" width="8.7265625" customWidth="1"/>
  </cols>
  <sheetData>
    <row r="1" spans="1:2" ht="18" x14ac:dyDescent="0.4">
      <c r="A1" s="35" t="s">
        <v>84</v>
      </c>
      <c r="B1" s="28"/>
    </row>
    <row r="3" spans="1:2" ht="14.5" x14ac:dyDescent="0.35">
      <c r="A3" s="21" t="s">
        <v>85</v>
      </c>
      <c r="B3" s="21" t="s">
        <v>86</v>
      </c>
    </row>
    <row r="4" spans="1:2" ht="14.5" x14ac:dyDescent="0.35">
      <c r="A4" s="22" t="s">
        <v>87</v>
      </c>
      <c r="B4" s="9" t="s">
        <v>88</v>
      </c>
    </row>
    <row r="5" spans="1:2" ht="14.5" x14ac:dyDescent="0.35">
      <c r="A5" s="22" t="s">
        <v>89</v>
      </c>
      <c r="B5" s="9" t="s">
        <v>90</v>
      </c>
    </row>
    <row r="6" spans="1:2" ht="14.5" x14ac:dyDescent="0.35">
      <c r="A6" s="22" t="s">
        <v>91</v>
      </c>
      <c r="B6" s="9" t="s">
        <v>92</v>
      </c>
    </row>
    <row r="7" spans="1:2" ht="14.5" x14ac:dyDescent="0.35">
      <c r="A7" s="22" t="s">
        <v>93</v>
      </c>
      <c r="B7" s="9" t="s">
        <v>94</v>
      </c>
    </row>
    <row r="8" spans="1:2" ht="14.5" x14ac:dyDescent="0.35">
      <c r="A8" s="22" t="s">
        <v>95</v>
      </c>
      <c r="B8" s="9" t="s">
        <v>96</v>
      </c>
    </row>
    <row r="9" spans="1:2" ht="14.5" x14ac:dyDescent="0.35">
      <c r="A9" s="22" t="s">
        <v>97</v>
      </c>
      <c r="B9" s="9" t="s">
        <v>98</v>
      </c>
    </row>
    <row r="10" spans="1:2" ht="14.5" x14ac:dyDescent="0.35">
      <c r="A10" s="22" t="s">
        <v>99</v>
      </c>
      <c r="B10" s="9" t="s">
        <v>100</v>
      </c>
    </row>
    <row r="11" spans="1:2" ht="14.5" x14ac:dyDescent="0.35">
      <c r="A11" s="22" t="s">
        <v>101</v>
      </c>
      <c r="B11" s="9" t="s">
        <v>102</v>
      </c>
    </row>
    <row r="12" spans="1:2" ht="14.5" x14ac:dyDescent="0.35">
      <c r="A12" s="22" t="s">
        <v>103</v>
      </c>
      <c r="B12" s="9" t="s">
        <v>104</v>
      </c>
    </row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</sheetData>
  <mergeCells count="1">
    <mergeCell ref="A1:B1"/>
  </mergeCells>
  <pageMargins left="0.75" right="0.75" top="1" bottom="1" header="0" footer="0"/>
  <pageSetup orientation="landscape"/>
  <headerFooter>
    <oddHeader>&amp;L&amp;"Aptos"&amp;10&amp;K000000 Interno - Techfin&amp;1#_x000D_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E999"/>
  <sheetViews>
    <sheetView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defaultColWidth="14.453125" defaultRowHeight="15" customHeight="1" x14ac:dyDescent="0.35"/>
  <cols>
    <col min="1" max="1" width="44" customWidth="1"/>
    <col min="2" max="2" width="16" customWidth="1"/>
    <col min="3" max="3" width="14" customWidth="1"/>
    <col min="4" max="4" width="18" customWidth="1"/>
    <col min="5" max="5" width="42" customWidth="1"/>
    <col min="6" max="25" width="8.7265625" customWidth="1"/>
  </cols>
  <sheetData>
    <row r="1" spans="1:5" ht="18" x14ac:dyDescent="0.4">
      <c r="A1" s="29" t="s">
        <v>135</v>
      </c>
      <c r="B1" s="28"/>
      <c r="C1" s="28"/>
      <c r="D1" s="28"/>
      <c r="E1" s="28"/>
    </row>
    <row r="3" spans="1:5" ht="14.5" x14ac:dyDescent="0.35">
      <c r="A3" s="4" t="s">
        <v>105</v>
      </c>
      <c r="B3" s="4" t="s">
        <v>136</v>
      </c>
      <c r="C3" s="4" t="s">
        <v>106</v>
      </c>
      <c r="D3" s="4" t="s">
        <v>107</v>
      </c>
      <c r="E3" s="4" t="s">
        <v>108</v>
      </c>
    </row>
    <row r="4" spans="1:5" ht="23" x14ac:dyDescent="0.35">
      <c r="A4" s="15" t="s">
        <v>109</v>
      </c>
      <c r="B4" s="6">
        <v>100</v>
      </c>
      <c r="C4" s="23">
        <v>48</v>
      </c>
      <c r="D4" s="7">
        <f>B4*C4</f>
        <v>4800</v>
      </c>
      <c r="E4" s="9" t="s">
        <v>110</v>
      </c>
    </row>
    <row r="5" spans="1:5" ht="14.5" x14ac:dyDescent="0.35">
      <c r="A5" s="15" t="s">
        <v>111</v>
      </c>
      <c r="B5" s="6">
        <v>120</v>
      </c>
      <c r="C5" s="23">
        <v>120</v>
      </c>
      <c r="D5" s="7">
        <f t="shared" ref="D5:D15" si="0">B5*C5</f>
        <v>14400</v>
      </c>
      <c r="E5" s="9" t="s">
        <v>112</v>
      </c>
    </row>
    <row r="6" spans="1:5" ht="14.5" x14ac:dyDescent="0.35">
      <c r="A6" s="15" t="s">
        <v>113</v>
      </c>
      <c r="B6" s="6">
        <v>100</v>
      </c>
      <c r="C6" s="23">
        <v>64</v>
      </c>
      <c r="D6" s="7">
        <f t="shared" si="0"/>
        <v>6400</v>
      </c>
      <c r="E6" s="9" t="s">
        <v>114</v>
      </c>
    </row>
    <row r="7" spans="1:5" ht="14.5" x14ac:dyDescent="0.35">
      <c r="A7" s="15" t="s">
        <v>115</v>
      </c>
      <c r="B7" s="6">
        <v>100</v>
      </c>
      <c r="C7" s="23">
        <v>96</v>
      </c>
      <c r="D7" s="7">
        <f t="shared" si="0"/>
        <v>9600</v>
      </c>
      <c r="E7" s="9" t="s">
        <v>116</v>
      </c>
    </row>
    <row r="8" spans="1:5" ht="14.5" x14ac:dyDescent="0.35">
      <c r="A8" s="15" t="s">
        <v>117</v>
      </c>
      <c r="B8" s="6">
        <v>120</v>
      </c>
      <c r="C8" s="23">
        <v>24</v>
      </c>
      <c r="D8" s="7">
        <f t="shared" si="0"/>
        <v>2880</v>
      </c>
      <c r="E8" s="9" t="s">
        <v>118</v>
      </c>
    </row>
    <row r="9" spans="1:5" ht="14.5" x14ac:dyDescent="0.35">
      <c r="A9" s="15" t="s">
        <v>119</v>
      </c>
      <c r="B9" s="6">
        <v>100</v>
      </c>
      <c r="C9" s="23">
        <v>16</v>
      </c>
      <c r="D9" s="7">
        <f t="shared" si="0"/>
        <v>1600</v>
      </c>
      <c r="E9" s="9" t="s">
        <v>120</v>
      </c>
    </row>
    <row r="10" spans="1:5" ht="14.5" x14ac:dyDescent="0.35">
      <c r="A10" s="15" t="s">
        <v>121</v>
      </c>
      <c r="B10" s="6">
        <v>100</v>
      </c>
      <c r="C10" s="23">
        <v>32</v>
      </c>
      <c r="D10" s="7">
        <f t="shared" si="0"/>
        <v>3200</v>
      </c>
      <c r="E10" s="9" t="s">
        <v>122</v>
      </c>
    </row>
    <row r="11" spans="1:5" ht="14.5" x14ac:dyDescent="0.35">
      <c r="A11" s="15" t="s">
        <v>123</v>
      </c>
      <c r="B11" s="6">
        <v>100</v>
      </c>
      <c r="C11" s="23">
        <v>12</v>
      </c>
      <c r="D11" s="7">
        <f t="shared" si="0"/>
        <v>1200</v>
      </c>
      <c r="E11" s="9" t="s">
        <v>124</v>
      </c>
    </row>
    <row r="12" spans="1:5" ht="14.5" x14ac:dyDescent="0.35">
      <c r="A12" s="15" t="s">
        <v>125</v>
      </c>
      <c r="B12" s="6">
        <v>120</v>
      </c>
      <c r="C12" s="23">
        <v>16</v>
      </c>
      <c r="D12" s="7">
        <f t="shared" si="0"/>
        <v>1920</v>
      </c>
      <c r="E12" s="9" t="s">
        <v>126</v>
      </c>
    </row>
    <row r="13" spans="1:5" ht="14.5" x14ac:dyDescent="0.35">
      <c r="A13" s="15" t="s">
        <v>127</v>
      </c>
      <c r="B13" s="6">
        <v>100</v>
      </c>
      <c r="C13" s="23">
        <v>40</v>
      </c>
      <c r="D13" s="7">
        <f t="shared" si="0"/>
        <v>4000</v>
      </c>
      <c r="E13" s="9" t="s">
        <v>128</v>
      </c>
    </row>
    <row r="14" spans="1:5" ht="14.5" x14ac:dyDescent="0.35">
      <c r="A14" s="15" t="s">
        <v>129</v>
      </c>
      <c r="B14" s="6">
        <v>100</v>
      </c>
      <c r="C14" s="23">
        <v>24</v>
      </c>
      <c r="D14" s="7">
        <f t="shared" si="0"/>
        <v>2400</v>
      </c>
      <c r="E14" s="9" t="s">
        <v>130</v>
      </c>
    </row>
    <row r="15" spans="1:5" ht="14.5" x14ac:dyDescent="0.35">
      <c r="A15" s="15" t="s">
        <v>131</v>
      </c>
      <c r="B15" s="6">
        <v>0</v>
      </c>
      <c r="C15" s="23">
        <v>0</v>
      </c>
      <c r="D15" s="7">
        <f t="shared" si="0"/>
        <v>0</v>
      </c>
      <c r="E15" s="9" t="s">
        <v>132</v>
      </c>
    </row>
    <row r="16" spans="1:5" ht="15.5" x14ac:dyDescent="0.35">
      <c r="A16" s="17" t="s">
        <v>133</v>
      </c>
      <c r="B16" s="16"/>
      <c r="C16" s="24">
        <f t="shared" ref="C16:D16" si="1">SUM(C4:C15)</f>
        <v>492</v>
      </c>
      <c r="D16" s="18">
        <f t="shared" si="1"/>
        <v>52400</v>
      </c>
      <c r="E16" s="16"/>
    </row>
    <row r="18" spans="1:2" ht="15.5" x14ac:dyDescent="0.35">
      <c r="A18" s="3" t="s">
        <v>134</v>
      </c>
    </row>
    <row r="19" spans="1:2" ht="15.5" x14ac:dyDescent="0.35">
      <c r="A19" s="25" t="s">
        <v>0</v>
      </c>
      <c r="B19" s="2">
        <f>'Comparativo Mensal'!D53</f>
        <v>36720</v>
      </c>
    </row>
    <row r="20" spans="1:2" ht="15.75" customHeight="1" x14ac:dyDescent="0.35">
      <c r="A20" s="25" t="s">
        <v>1</v>
      </c>
      <c r="B20" s="26">
        <f>IF(B19=0,"N/A",CEILING(D16/B19,1))</f>
        <v>2</v>
      </c>
    </row>
    <row r="21" spans="1:2" ht="15.75" customHeight="1" x14ac:dyDescent="0.35">
      <c r="A21" s="25" t="s">
        <v>2</v>
      </c>
      <c r="B21" s="27">
        <f>IF(D16=0,0,(B19*12-D16)/D16)</f>
        <v>7.4091603053435113</v>
      </c>
    </row>
    <row r="22" spans="1:2" ht="15.75" customHeight="1" x14ac:dyDescent="0.35"/>
    <row r="23" spans="1:2" ht="15.75" customHeight="1" x14ac:dyDescent="0.35"/>
    <row r="24" spans="1:2" ht="15.75" customHeight="1" x14ac:dyDescent="0.35"/>
    <row r="25" spans="1:2" ht="15.75" customHeight="1" x14ac:dyDescent="0.35"/>
    <row r="26" spans="1:2" ht="15.75" customHeight="1" x14ac:dyDescent="0.35"/>
    <row r="27" spans="1:2" ht="15.75" customHeight="1" x14ac:dyDescent="0.35"/>
    <row r="28" spans="1:2" ht="15.75" customHeight="1" x14ac:dyDescent="0.35"/>
    <row r="29" spans="1:2" ht="15.75" customHeight="1" x14ac:dyDescent="0.35"/>
    <row r="30" spans="1:2" ht="15.75" customHeight="1" x14ac:dyDescent="0.35"/>
    <row r="31" spans="1:2" ht="15.75" customHeight="1" x14ac:dyDescent="0.35"/>
    <row r="32" spans="1: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</sheetData>
  <mergeCells count="1">
    <mergeCell ref="A1:E1"/>
  </mergeCells>
  <pageMargins left="0.75" right="0.75" top="1" bottom="1" header="0" footer="0"/>
  <pageSetup orientation="landscape"/>
  <headerFooter>
    <oddHeader>&amp;L&amp;"Aptos"&amp;10&amp;K000000 Interno - Techfin&amp;1#_x000D_</oddHeader>
  </headerFooter>
</worksheet>
</file>

<file path=docMetadata/LabelInfo.xml><?xml version="1.0" encoding="utf-8"?>
<clbl:labelList xmlns:clbl="http://schemas.microsoft.com/office/2020/mipLabelMetadata">
  <clbl:label id="{fc61e2ae-8216-4fe8-bcf8-dc15dbe02e6f}" enabled="1" method="Privileged" siteId="{454e8891-c607-41cd-925f-9fcd02d134c9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Custo - OCI</vt:lpstr>
      <vt:lpstr>Comparativo Mensal</vt:lpstr>
      <vt:lpstr>Quick Wins</vt:lpstr>
      <vt:lpstr>Custos de Migração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Clayton Gregorio de Oliveira</cp:lastModifiedBy>
  <dcterms:created xsi:type="dcterms:W3CDTF">2026-06-15T01:22:49Z</dcterms:created>
  <dcterms:modified xsi:type="dcterms:W3CDTF">2026-06-17T19:43:24Z</dcterms:modified>
</cp:coreProperties>
</file>