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 Executivo" sheetId="1" r:id="rId4"/>
    <sheet state="visible" name="Comparativo Mensal" sheetId="2" r:id="rId5"/>
    <sheet state="visible" name="Quick Wins" sheetId="3" r:id="rId6"/>
    <sheet state="visible" name="Custos de Migração" sheetId="4" r:id="rId7"/>
  </sheets>
  <definedNames/>
  <calcPr/>
  <extLst>
    <ext uri="GoogleSheetsCustomDataVersion2">
      <go:sheetsCustomData xmlns:go="http://customooxmlschemas.google.com/" r:id="rId8" roundtripDataChecksum="IOY+PlYefFxSZh5wEfjGYXxwc0wU6TXlfUUEWxe7IB4="/>
    </ext>
  </extLst>
</workbook>
</file>

<file path=xl/sharedStrings.xml><?xml version="1.0" encoding="utf-8"?>
<sst xmlns="http://schemas.openxmlformats.org/spreadsheetml/2006/main" count="159" uniqueCount="156">
  <si>
    <t>Resumo - Migração OCI → AWS</t>
  </si>
  <si>
    <t>KPIs consolidados para decisão da diretoria</t>
  </si>
  <si>
    <t>Custo Mensal OCI (Atual)</t>
  </si>
  <si>
    <t>Custo Mensal AWS (Novo)</t>
  </si>
  <si>
    <t>Economia Mensal</t>
  </si>
  <si>
    <t>Redução Percentual</t>
  </si>
  <si>
    <t>Economia Anual</t>
  </si>
  <si>
    <t>Investimento na Migração</t>
  </si>
  <si>
    <t>Payback</t>
  </si>
  <si>
    <t>ROI 1º Ano</t>
  </si>
  <si>
    <t>Quick Wins (mensal)</t>
  </si>
  <si>
    <t>Principais Drivers da Economia</t>
  </si>
  <si>
    <t>1. Eliminação total de licenciamento Windows Server (VMs app + workers)</t>
  </si>
  <si>
    <t>2. Eliminação dos workers de sincronização Oracle↔MySQL</t>
  </si>
  <si>
    <t>3. Substituição Oracle Database por Aurora MySQL (custo ~55% menor)</t>
  </si>
  <si>
    <t>4. RabbitMQ open-source substitui serviço de mensageria gerenciado</t>
  </si>
  <si>
    <t>5. Kubernetes (EKS) consolida workloads com auto-scaling e self-healing</t>
  </si>
  <si>
    <t>6. Redução drástica de overhead operacional (patching, suporte, monitoring)</t>
  </si>
  <si>
    <t>Migração OCI → AWS — Comparativo de Custos Mensal</t>
  </si>
  <si>
    <t>Recurso / Serviço</t>
  </si>
  <si>
    <t>OCI (Atual)</t>
  </si>
  <si>
    <t>AWS (Novo)</t>
  </si>
  <si>
    <t>Economia (R$)</t>
  </si>
  <si>
    <t>Redução (%)</t>
  </si>
  <si>
    <t>Observações</t>
  </si>
  <si>
    <t>Compute &amp; Runtime</t>
  </si>
  <si>
    <t>VMs Windows c/ IIS (apps .NET)</t>
  </si>
  <si>
    <t>Migram para EKS (eliminadas)</t>
  </si>
  <si>
    <t>Licenciamento Windows Server (VMs app)</t>
  </si>
  <si>
    <t>Containers Linux = sem licença Windows</t>
  </si>
  <si>
    <t>EKS (Kubernetes gerenciado)</t>
  </si>
  <si>
    <t>Cluster EKS Autopilot / managed node groups</t>
  </si>
  <si>
    <t>EC2 Spot / Reserved (nodes EKS)</t>
  </si>
  <si>
    <t>Nodes Linux otimizados (Graviton ARM)</t>
  </si>
  <si>
    <t>Subtotal Compute &amp; Runtime</t>
  </si>
  <si>
    <t>Banco de Dados</t>
  </si>
  <si>
    <t>Oracle Database (OCI)</t>
  </si>
  <si>
    <t>Migração para MySQL/Aurora na AWS</t>
  </si>
  <si>
    <t>MySQL (OCI — destino sync)</t>
  </si>
  <si>
    <t>Consolidado na AWS</t>
  </si>
  <si>
    <t>Amazon Aurora MySQL</t>
  </si>
  <si>
    <t>Substitui Oracle + MySQL OCI</t>
  </si>
  <si>
    <t>Amazon ElastiCache (Redis)</t>
  </si>
  <si>
    <t>Cache de sessão e aplicação</t>
  </si>
  <si>
    <t>Subtotal Banco de Dados</t>
  </si>
  <si>
    <t>Mensageria &amp; Filas</t>
  </si>
  <si>
    <t>SQS/SNS</t>
  </si>
  <si>
    <t>Substituído por RabbitMQ no EKS</t>
  </si>
  <si>
    <t>RabbitMQ (self-hosted no EKS)</t>
  </si>
  <si>
    <t>Open-source, roda como pod no cluster</t>
  </si>
  <si>
    <t>Recursos do pod RabbitMQ (CPU/RAM)</t>
  </si>
  <si>
    <t>Incluso nos nodes, custo marginal</t>
  </si>
  <si>
    <t>Subtotal Mensageria &amp; Filas</t>
  </si>
  <si>
    <t>Storage &amp; CDN</t>
  </si>
  <si>
    <t>OCI Object Storage</t>
  </si>
  <si>
    <t>Amazon S3</t>
  </si>
  <si>
    <t>Migração de buckets</t>
  </si>
  <si>
    <t>CloudFront (CDN)</t>
  </si>
  <si>
    <t>CDN para assets estáticos</t>
  </si>
  <si>
    <t>OCI Load Balancer</t>
  </si>
  <si>
    <t>AWS ALB (Application Load Balancer)</t>
  </si>
  <si>
    <t>Integrado com EKS Ingress (Já implementado)</t>
  </si>
  <si>
    <t>Subtotal Storage &amp; CDN</t>
  </si>
  <si>
    <t>Rede &amp; Segurança</t>
  </si>
  <si>
    <t>Egress / Tráfego de rede (OCI)</t>
  </si>
  <si>
    <t>Egress / Tráfego de rede (AWS)</t>
  </si>
  <si>
    <t>AWS egress tipicamente mais caro</t>
  </si>
  <si>
    <t>VPN / Interconexão OCI</t>
  </si>
  <si>
    <t>AWS VPC / NAT Gateway</t>
  </si>
  <si>
    <t>DNS (Route 53)</t>
  </si>
  <si>
    <t>WAF (AWS WAF)</t>
  </si>
  <si>
    <t>Proteção de API</t>
  </si>
  <si>
    <t>ACM (Certificados SSL)</t>
  </si>
  <si>
    <t>Gratuito na AWS</t>
  </si>
  <si>
    <t>Subtotal Rede &amp; Segurança</t>
  </si>
  <si>
    <t>DevOps &amp; Observabilidade</t>
  </si>
  <si>
    <t>CI/CD Jenkins</t>
  </si>
  <si>
    <t>Bitbucket Pipelines (CI/CD)</t>
  </si>
  <si>
    <t>Reuso de pipelines existentes</t>
  </si>
  <si>
    <t>Monitoring OCI</t>
  </si>
  <si>
    <t>Amazon CloudWatch + Grafana</t>
  </si>
  <si>
    <t>Logs, métricas, alertas</t>
  </si>
  <si>
    <t>ECR (Container Registry)</t>
  </si>
  <si>
    <t>Registry de imagens Docker</t>
  </si>
  <si>
    <t>AWS Secrets Manager</t>
  </si>
  <si>
    <t>Subtotal DevOps &amp; Observabilidade</t>
  </si>
  <si>
    <t>Custos Operacionais Eliminados (Quick Wins)</t>
  </si>
  <si>
    <t>Manutenção/Patching VMs Windows</t>
  </si>
  <si>
    <t>Sem Windows = sem patching de OS</t>
  </si>
  <si>
    <t>Horas de suporte infra Windows (estimado)</t>
  </si>
  <si>
    <t>Ops reduzido com K8s gerenciado</t>
  </si>
  <si>
    <t>Monitoramento dos Workers de sync</t>
  </si>
  <si>
    <t>Workers eliminados</t>
  </si>
  <si>
    <t>Licença antivírus/EDR (VMs Windows)</t>
  </si>
  <si>
    <t>Containers Linux não requerem</t>
  </si>
  <si>
    <t>Subtotal Custos Operacionais Eliminados</t>
  </si>
  <si>
    <t>TOTAL MENSAL</t>
  </si>
  <si>
    <t>Projeção Anual</t>
  </si>
  <si>
    <t>Custo Anual OCI (Atual)</t>
  </si>
  <si>
    <t>Custo Anual AWS (Novo)</t>
  </si>
  <si>
    <t>Economia Anual Total</t>
  </si>
  <si>
    <t>Quick Wins — Ganhos Imediatos com a Migração OCI → AWS</t>
  </si>
  <si>
    <t>Impactos diretos que geram economia desde o primeiro mês pós-migração</t>
  </si>
  <si>
    <t>Quick Win</t>
  </si>
  <si>
    <t>Justificativa / Impacto</t>
  </si>
  <si>
    <t>Eliminação de VMs Windows (IIS)</t>
  </si>
  <si>
    <t>Apps .NET migram para containers Linux no EKS. Zero custo de VM, zero licenciamento Windows Server.</t>
  </si>
  <si>
    <t>Eliminação de licenças Windows Server</t>
  </si>
  <si>
    <t>VMs de app + workers usavam Windows Server. Containers Linux eliminam 100% desse custo.</t>
  </si>
  <si>
    <t>Eliminação dos Workers de Sincronização</t>
  </si>
  <si>
    <t>Dados consolidados na AWS (Aurora). Sem necessidade de sync Oracle↔MySQL, workers desligados.</t>
  </si>
  <si>
    <t>Redução de Oracle Database → Aurora MySQL</t>
  </si>
  <si>
    <t>Oracle DB na OCI para diminuição do monolito que temos hoje</t>
  </si>
  <si>
    <t>RabbitMQ (open-source) no lugar de SQS/SNS</t>
  </si>
  <si>
    <t>RabbitMQ roda como pod no EKS (custo marginal de ~R$ 180). Substitui serviço gerenciado (R$ 450).</t>
  </si>
  <si>
    <t>Eliminação de manutenção Windows</t>
  </si>
  <si>
    <t>Sem patching de OS Windows, sem atualizações de IIS, sem reinicializações programadas.</t>
  </si>
  <si>
    <t>Redução de horas de suporte operacional</t>
  </si>
  <si>
    <t>K8s gerenciado + containers = menos tickets de infra, deploys self-healing.</t>
  </si>
  <si>
    <t>Eliminação de antivírus/EDR em VMs</t>
  </si>
  <si>
    <t>Containers Linux efêmeros não requerem agentes de segurança de endpoint.</t>
  </si>
  <si>
    <t>Eliminação de monitoramento de workers</t>
  </si>
  <si>
    <t>Workers eliminados = dashboards, alertas e runbooks de sync descontinuados.</t>
  </si>
  <si>
    <t>Custos de Migração OCI → AWS (One-Time)</t>
  </si>
  <si>
    <t>Investimento único para execução da migração</t>
  </si>
  <si>
    <t>Fase / Item</t>
  </si>
  <si>
    <t>Custo (R$)</t>
  </si>
  <si>
    <t>Horas</t>
  </si>
  <si>
    <t>Custo Total</t>
  </si>
  <si>
    <t>Detalhamento</t>
  </si>
  <si>
    <t>Discovery &amp; Assessment</t>
  </si>
  <si>
    <t>Levantamento de workloads OCI, dependências, sizing AWS</t>
  </si>
  <si>
    <t>Containerização das apps .NET (IIS → Docker)</t>
  </si>
  <si>
    <t>Dockerfile, health checks, remoção deps IIS, testes</t>
  </si>
  <si>
    <t>Setup EKS + Networking (VPC, ALB, NAT)</t>
  </si>
  <si>
    <t>Cluster EKS, node groups, Helm charts, Ingress</t>
  </si>
  <si>
    <t>Migração Oracle → Aurora MySQL</t>
  </si>
  <si>
    <t>Schema conversion (SCT), DMS, validação de dados</t>
  </si>
  <si>
    <t>Setup RabbitMQ no EKS</t>
  </si>
  <si>
    <t>Helm chart, exchanges, filas, políticas de HA</t>
  </si>
  <si>
    <t>Migração de Storage (OCI → S3)</t>
  </si>
  <si>
    <t>Buckets, permissões IAM, lifecycle policies</t>
  </si>
  <si>
    <t>Reconfiguração CI/CD (GitHub Actions)</t>
  </si>
  <si>
    <t>Pipelines, ECR push, deploy EKS, secrets</t>
  </si>
  <si>
    <t>DNS, SSL e cutover de tráfego</t>
  </si>
  <si>
    <t>Route 53, ACM, blue-green ou canary deploy</t>
  </si>
  <si>
    <t>Descomissionamento dos Workers de sync</t>
  </si>
  <si>
    <t>Validação de dados, shutdown, cleanup OCI</t>
  </si>
  <si>
    <t>Testes de carga e validação</t>
  </si>
  <si>
    <t>Smoke tests, stress test, rollback plan</t>
  </si>
  <si>
    <t>Treinamento da equipe (AWS/EKS)</t>
  </si>
  <si>
    <t>Workshops K8s, kubectl, CloudWatch, runbooks</t>
  </si>
  <si>
    <t>Contingência (15%)</t>
  </si>
  <si>
    <t>Buffer para imprevistos da migração</t>
  </si>
  <si>
    <t>TOTAL MIGRAÇÃO</t>
  </si>
  <si>
    <t>📊 Payback da Migração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</si>
</sst>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 &quot;#,##0.00;&quot;(R$ &quot;#,##0.00\);\-"/>
    <numFmt numFmtId="165" formatCode="0.0%"/>
    <numFmt numFmtId="166" formatCode="0&quot; meses&quot;"/>
  </numFmts>
  <fonts count="17">
    <font>
      <sz val="11.0"/>
      <color theme="1"/>
      <name val="Calibri"/>
      <scheme val="minor"/>
    </font>
    <font>
      <b/>
      <sz val="14.0"/>
      <color rgb="FF1F4E79"/>
      <name val="Arial"/>
    </font>
    <font>
      <i/>
      <sz val="9.0"/>
      <color rgb="FF808080"/>
      <name val="Arial"/>
    </font>
    <font>
      <b/>
      <sz val="10.0"/>
      <color theme="1"/>
      <name val="Arial"/>
    </font>
    <font>
      <b/>
      <sz val="12.0"/>
      <color rgb="FF1F4E79"/>
      <name val="Arial"/>
    </font>
    <font>
      <b/>
      <sz val="12.0"/>
      <color rgb="FF006100"/>
      <name val="Arial"/>
    </font>
    <font>
      <b/>
      <sz val="14.0"/>
      <color rgb="FF006100"/>
      <name val="Arial"/>
    </font>
    <font>
      <sz val="10.0"/>
      <color theme="1"/>
      <name val="Arial"/>
    </font>
    <font>
      <b/>
      <sz val="11.0"/>
      <color rgb="FFFFFFFF"/>
      <name val="Arial"/>
    </font>
    <font>
      <sz val="11.0"/>
      <color theme="1"/>
      <name val="Calibri"/>
    </font>
    <font/>
    <font>
      <sz val="10.0"/>
      <color rgb="FF0000FF"/>
      <name val="Arial"/>
    </font>
    <font>
      <sz val="9.0"/>
      <color rgb="FF666666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b/>
      <sz val="16.0"/>
      <color rgb="FF1F4E79"/>
      <name val="Arial"/>
    </font>
    <font>
      <b/>
      <sz val="16.0"/>
      <color rgb="FF0061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CE4EC"/>
        <bgColor rgb="FFFCE4EC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0D3B66"/>
        <bgColor rgb="FF0D3B66"/>
      </patternFill>
    </fill>
    <fill>
      <patternFill patternType="solid">
        <fgColor rgb="FF006100"/>
        <bgColor rgb="FF006100"/>
      </patternFill>
    </fill>
  </fills>
  <borders count="6">
    <border/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top style="thin">
        <color rgb="FFB4B4B4"/>
      </top>
      <bottom style="thin">
        <color rgb="FFB4B4B4"/>
      </bottom>
    </border>
    <border>
      <top style="thin">
        <color rgb="FFB4B4B4"/>
      </top>
      <bottom style="thin">
        <color rgb="FFB4B4B4"/>
      </bottom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medium">
        <color rgb="FF1F4E79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left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2" fontId="5" numFmtId="164" xfId="0" applyAlignment="1" applyBorder="1" applyFill="1" applyFont="1" applyNumberFormat="1">
      <alignment horizontal="center" shrinkToFit="0" vertical="center" wrapText="1"/>
    </xf>
    <xf borderId="1" fillId="2" fontId="5" numFmtId="165" xfId="0" applyAlignment="1" applyBorder="1" applyFont="1" applyNumberFormat="1">
      <alignment horizontal="center" shrinkToFit="0" vertical="center" wrapText="1"/>
    </xf>
    <xf borderId="1" fillId="0" fontId="1" numFmtId="166" xfId="0" applyAlignment="1" applyBorder="1" applyFont="1" applyNumberFormat="1">
      <alignment horizontal="center" shrinkToFit="0" vertical="center" wrapText="1"/>
    </xf>
    <xf borderId="1" fillId="2" fontId="6" numFmtId="165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0" fillId="0" fontId="7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bottom" wrapText="0"/>
    </xf>
    <xf borderId="1" fillId="3" fontId="8" numFmtId="0" xfId="0" applyAlignment="1" applyBorder="1" applyFill="1" applyFont="1">
      <alignment horizontal="center" shrinkToFit="0" vertical="center" wrapText="1"/>
    </xf>
    <xf borderId="1" fillId="0" fontId="9" numFmtId="0" xfId="0" applyAlignment="1" applyBorder="1" applyFont="1">
      <alignment shrinkToFit="0" vertical="bottom" wrapText="0"/>
    </xf>
    <xf borderId="2" fillId="4" fontId="8" numFmtId="0" xfId="0" applyAlignment="1" applyBorder="1" applyFill="1" applyFont="1">
      <alignment horizontal="left" readingOrder="0" shrinkToFit="0" vertical="center" wrapText="1"/>
    </xf>
    <xf borderId="3" fillId="0" fontId="10" numFmtId="0" xfId="0" applyBorder="1" applyFont="1"/>
    <xf borderId="4" fillId="0" fontId="10" numFmtId="0" xfId="0" applyBorder="1" applyFont="1"/>
    <xf borderId="1" fillId="5" fontId="7" numFmtId="0" xfId="0" applyAlignment="1" applyBorder="1" applyFill="1" applyFont="1">
      <alignment horizontal="left" shrinkToFit="0" vertical="center" wrapText="1"/>
    </xf>
    <xf borderId="1" fillId="6" fontId="11" numFmtId="164" xfId="0" applyAlignment="1" applyBorder="1" applyFill="1" applyFont="1" applyNumberFormat="1">
      <alignment horizontal="center" readingOrder="0" shrinkToFit="0" vertical="center" wrapText="1"/>
    </xf>
    <xf borderId="1" fillId="6" fontId="11" numFmtId="164" xfId="0" applyAlignment="1" applyBorder="1" applyFont="1" applyNumberForma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3" numFmtId="165" xfId="0" applyAlignment="1" applyBorder="1" applyFont="1" applyNumberFormat="1">
      <alignment horizontal="center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5" fillId="0" fontId="9" numFmtId="0" xfId="0" applyAlignment="1" applyBorder="1" applyFont="1">
      <alignment shrinkToFit="0" vertical="bottom" wrapText="0"/>
    </xf>
    <xf borderId="5" fillId="8" fontId="3" numFmtId="0" xfId="0" applyAlignment="1" applyBorder="1" applyFill="1" applyFont="1">
      <alignment horizontal="left" shrinkToFit="0" vertical="center" wrapText="1"/>
    </xf>
    <xf borderId="5" fillId="8" fontId="3" numFmtId="164" xfId="0" applyAlignment="1" applyBorder="1" applyFont="1" applyNumberFormat="1">
      <alignment horizontal="center" shrinkToFit="0" vertical="center" wrapText="1"/>
    </xf>
    <xf borderId="5" fillId="8" fontId="3" numFmtId="165" xfId="0" applyAlignment="1" applyBorder="1" applyFont="1" applyNumberFormat="1">
      <alignment horizontal="center" shrinkToFit="0" vertical="center" wrapText="1"/>
    </xf>
    <xf borderId="5" fillId="8" fontId="9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7" fontId="7" numFmtId="0" xfId="0" applyAlignment="1" applyBorder="1" applyFont="1">
      <alignment horizontal="left" readingOrder="0" shrinkToFit="0" vertical="center" wrapText="1"/>
    </xf>
    <xf borderId="1" fillId="9" fontId="9" numFmtId="0" xfId="0" applyAlignment="1" applyBorder="1" applyFill="1" applyFont="1">
      <alignment shrinkToFit="0" vertical="bottom" wrapText="0"/>
    </xf>
    <xf borderId="1" fillId="9" fontId="13" numFmtId="0" xfId="0" applyAlignment="1" applyBorder="1" applyFont="1">
      <alignment horizontal="left" shrinkToFit="0" vertical="center" wrapText="1"/>
    </xf>
    <xf borderId="1" fillId="9" fontId="13" numFmtId="164" xfId="0" applyAlignment="1" applyBorder="1" applyFont="1" applyNumberFormat="1">
      <alignment horizontal="center" shrinkToFit="0" vertical="center" wrapText="1"/>
    </xf>
    <xf borderId="1" fillId="9" fontId="13" numFmtId="165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readingOrder="0" shrinkToFit="0" vertical="bottom" wrapText="0"/>
    </xf>
    <xf borderId="1" fillId="0" fontId="14" numFmtId="164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1" fillId="10" fontId="8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ont="1">
      <alignment horizontal="left" shrinkToFit="0" vertical="center" wrapText="1"/>
    </xf>
    <xf borderId="1" fillId="6" fontId="11" numFmtId="3" xfId="0" applyAlignment="1" applyBorder="1" applyFont="1" applyNumberFormat="1">
      <alignment horizontal="center" shrinkToFit="0" vertical="center" wrapText="1"/>
    </xf>
    <xf borderId="1" fillId="9" fontId="13" numFmtId="3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0" fontId="15" numFmtId="166" xfId="0" applyAlignment="1" applyBorder="1" applyFont="1" applyNumberFormat="1">
      <alignment horizontal="center" shrinkToFit="0" vertical="center" wrapText="1"/>
    </xf>
    <xf borderId="1" fillId="2" fontId="16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100"/>
    <pageSetUpPr/>
  </sheetPr>
  <sheetViews>
    <sheetView workbookViewId="0"/>
  </sheetViews>
  <sheetFormatPr customHeight="1" defaultColWidth="14.43" defaultRowHeight="15.0"/>
  <cols>
    <col customWidth="1" min="1" max="1" width="60.14"/>
    <col customWidth="1" min="2" max="2" width="24.0"/>
    <col customWidth="1" min="3" max="25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>
        <f>'Comparativo Mensal'!C53</f>
        <v>52600</v>
      </c>
    </row>
    <row r="5">
      <c r="A5" s="3" t="s">
        <v>3</v>
      </c>
      <c r="B5" s="4">
        <f>'Comparativo Mensal'!D53</f>
        <v>7805</v>
      </c>
    </row>
    <row r="6">
      <c r="A6" s="3" t="s">
        <v>4</v>
      </c>
      <c r="B6" s="5">
        <f>'Comparativo Mensal'!E53</f>
        <v>44795</v>
      </c>
    </row>
    <row r="7">
      <c r="A7" s="3" t="s">
        <v>5</v>
      </c>
      <c r="B7" s="6">
        <f>'Comparativo Mensal'!F53</f>
        <v>0.8516159696</v>
      </c>
    </row>
    <row r="8">
      <c r="A8" s="3" t="s">
        <v>6</v>
      </c>
      <c r="B8" s="5">
        <f>'Comparativo Mensal'!E53*12</f>
        <v>537540</v>
      </c>
    </row>
    <row r="9">
      <c r="A9" s="3" t="s">
        <v>7</v>
      </c>
      <c r="B9" s="4">
        <f>'Custos de Migração'!E17</f>
        <v>70725</v>
      </c>
    </row>
    <row r="10">
      <c r="A10" s="3" t="s">
        <v>8</v>
      </c>
      <c r="B10" s="7">
        <f>IF('Comparativo Mensal'!E53=0,"N/A",CEILING('Custos de Migração'!E17/'Comparativo Mensal'!E53,1))</f>
        <v>2</v>
      </c>
    </row>
    <row r="11">
      <c r="A11" s="3" t="s">
        <v>9</v>
      </c>
      <c r="B11" s="8">
        <f>IF('Custos de Migração'!E17=0,0,('Comparativo Mensal'!E53*12-'Custos de Migração'!E17)/'Custos de Migração'!E17)</f>
        <v>6.600424178</v>
      </c>
    </row>
    <row r="12">
      <c r="A12" s="3" t="s">
        <v>10</v>
      </c>
      <c r="B12" s="5" t="str">
        <f>#REF!</f>
        <v>#REF!</v>
      </c>
    </row>
    <row r="14">
      <c r="A14" s="9" t="s">
        <v>11</v>
      </c>
    </row>
    <row r="15" ht="15.0" customHeight="1">
      <c r="A15" s="10" t="s">
        <v>12</v>
      </c>
    </row>
    <row r="16" ht="15.0" customHeight="1">
      <c r="A16" s="10" t="s">
        <v>13</v>
      </c>
    </row>
    <row r="17" ht="15.0" customHeight="1">
      <c r="A17" s="10" t="s">
        <v>14</v>
      </c>
    </row>
    <row r="18" ht="15.0" customHeight="1">
      <c r="A18" s="10" t="s">
        <v>15</v>
      </c>
    </row>
    <row r="19" ht="15.0" customHeight="1">
      <c r="A19" s="10" t="s">
        <v>16</v>
      </c>
    </row>
    <row r="20" ht="23.25" customHeight="1">
      <c r="A20" s="10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9:B19"/>
    <mergeCell ref="A20:B20"/>
    <mergeCell ref="A1:B1"/>
    <mergeCell ref="A2:B2"/>
    <mergeCell ref="A14:B14"/>
    <mergeCell ref="A15:B15"/>
    <mergeCell ref="A16:B16"/>
    <mergeCell ref="A17:B17"/>
    <mergeCell ref="A18:B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.0"/>
    <col customWidth="1" min="2" max="2" width="42.0"/>
    <col customWidth="1" min="3" max="5" width="18.0"/>
    <col customWidth="1" min="6" max="6" width="14.0"/>
    <col customWidth="1" min="7" max="7" width="50.43"/>
    <col customWidth="1" min="8" max="26" width="8.71"/>
  </cols>
  <sheetData>
    <row r="1">
      <c r="B1" s="11" t="s">
        <v>18</v>
      </c>
    </row>
    <row r="2">
      <c r="B2" s="2"/>
    </row>
    <row r="4">
      <c r="A4" s="12"/>
      <c r="B4" s="12" t="s">
        <v>19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</row>
    <row r="5" ht="15.0" customHeight="1">
      <c r="A5" s="13"/>
      <c r="B5" s="14" t="s">
        <v>25</v>
      </c>
      <c r="C5" s="15"/>
      <c r="D5" s="15"/>
      <c r="E5" s="15"/>
      <c r="F5" s="15"/>
      <c r="G5" s="16"/>
    </row>
    <row r="6">
      <c r="A6" s="13"/>
      <c r="B6" s="17" t="s">
        <v>26</v>
      </c>
      <c r="C6" s="18">
        <v>30000.0</v>
      </c>
      <c r="D6" s="19">
        <v>0.0</v>
      </c>
      <c r="E6" s="20">
        <f t="shared" ref="E6:E9" si="1">C6-D6</f>
        <v>30000</v>
      </c>
      <c r="F6" s="21">
        <f t="shared" ref="F6:F10" si="2">IF(C6=0,0,(C6-D6)/C6)</f>
        <v>1</v>
      </c>
      <c r="G6" s="22" t="s">
        <v>27</v>
      </c>
    </row>
    <row r="7">
      <c r="A7" s="13"/>
      <c r="B7" s="17" t="s">
        <v>28</v>
      </c>
      <c r="C7" s="19">
        <v>4200.0</v>
      </c>
      <c r="D7" s="19">
        <v>0.0</v>
      </c>
      <c r="E7" s="20">
        <f t="shared" si="1"/>
        <v>4200</v>
      </c>
      <c r="F7" s="21">
        <f t="shared" si="2"/>
        <v>1</v>
      </c>
      <c r="G7" s="23" t="s">
        <v>29</v>
      </c>
    </row>
    <row r="8">
      <c r="A8" s="13"/>
      <c r="B8" s="24" t="s">
        <v>30</v>
      </c>
      <c r="C8" s="19">
        <v>0.0</v>
      </c>
      <c r="D8" s="18">
        <v>900.0</v>
      </c>
      <c r="E8" s="20">
        <f t="shared" si="1"/>
        <v>-900</v>
      </c>
      <c r="F8" s="21">
        <f t="shared" si="2"/>
        <v>0</v>
      </c>
      <c r="G8" s="23" t="s">
        <v>31</v>
      </c>
    </row>
    <row r="9">
      <c r="A9" s="13"/>
      <c r="B9" s="24" t="s">
        <v>32</v>
      </c>
      <c r="C9" s="19">
        <v>0.0</v>
      </c>
      <c r="D9" s="18">
        <v>430.0</v>
      </c>
      <c r="E9" s="20">
        <f t="shared" si="1"/>
        <v>-430</v>
      </c>
      <c r="F9" s="21">
        <f t="shared" si="2"/>
        <v>0</v>
      </c>
      <c r="G9" s="23" t="s">
        <v>33</v>
      </c>
    </row>
    <row r="10">
      <c r="A10" s="25"/>
      <c r="B10" s="26" t="s">
        <v>34</v>
      </c>
      <c r="C10" s="27">
        <f t="shared" ref="C10:E10" si="3">SUM(C6:C9)</f>
        <v>34200</v>
      </c>
      <c r="D10" s="27">
        <f t="shared" si="3"/>
        <v>1330</v>
      </c>
      <c r="E10" s="27">
        <f t="shared" si="3"/>
        <v>32870</v>
      </c>
      <c r="F10" s="28">
        <f t="shared" si="2"/>
        <v>0.9611111111</v>
      </c>
      <c r="G10" s="29"/>
    </row>
    <row r="11" ht="15.0" customHeight="1">
      <c r="A11" s="13"/>
      <c r="B11" s="14" t="s">
        <v>35</v>
      </c>
      <c r="C11" s="15"/>
      <c r="D11" s="15"/>
      <c r="E11" s="15"/>
      <c r="F11" s="15"/>
      <c r="G11" s="16"/>
    </row>
    <row r="12">
      <c r="A12" s="13"/>
      <c r="B12" s="17" t="s">
        <v>36</v>
      </c>
      <c r="C12" s="18">
        <v>0.0</v>
      </c>
      <c r="D12" s="19">
        <v>0.0</v>
      </c>
      <c r="E12" s="20">
        <f t="shared" ref="E12:E15" si="4">C12-D12</f>
        <v>0</v>
      </c>
      <c r="F12" s="21">
        <f t="shared" ref="F12:F16" si="5">IF(C12=0,0,(C12-D12)/C12)</f>
        <v>0</v>
      </c>
      <c r="G12" s="23" t="s">
        <v>37</v>
      </c>
    </row>
    <row r="13">
      <c r="A13" s="13"/>
      <c r="B13" s="17" t="s">
        <v>38</v>
      </c>
      <c r="C13" s="19">
        <v>1200.0</v>
      </c>
      <c r="D13" s="19">
        <v>0.0</v>
      </c>
      <c r="E13" s="20">
        <f t="shared" si="4"/>
        <v>1200</v>
      </c>
      <c r="F13" s="21">
        <f t="shared" si="5"/>
        <v>1</v>
      </c>
      <c r="G13" s="23" t="s">
        <v>39</v>
      </c>
    </row>
    <row r="14">
      <c r="A14" s="13"/>
      <c r="B14" s="24" t="s">
        <v>40</v>
      </c>
      <c r="C14" s="19">
        <v>0.0</v>
      </c>
      <c r="D14" s="18">
        <v>1800.0</v>
      </c>
      <c r="E14" s="20">
        <f t="shared" si="4"/>
        <v>-1800</v>
      </c>
      <c r="F14" s="21">
        <f t="shared" si="5"/>
        <v>0</v>
      </c>
      <c r="G14" s="23" t="s">
        <v>41</v>
      </c>
    </row>
    <row r="15">
      <c r="A15" s="13"/>
      <c r="B15" s="30" t="s">
        <v>42</v>
      </c>
      <c r="C15" s="19">
        <v>0.0</v>
      </c>
      <c r="D15" s="19">
        <v>650.0</v>
      </c>
      <c r="E15" s="20">
        <f t="shared" si="4"/>
        <v>-650</v>
      </c>
      <c r="F15" s="21">
        <f t="shared" si="5"/>
        <v>0</v>
      </c>
      <c r="G15" s="23" t="s">
        <v>43</v>
      </c>
    </row>
    <row r="16">
      <c r="A16" s="25"/>
      <c r="B16" s="26" t="s">
        <v>44</v>
      </c>
      <c r="C16" s="27">
        <f t="shared" ref="C16:E16" si="6">SUM(C12:C15)</f>
        <v>1200</v>
      </c>
      <c r="D16" s="27">
        <f t="shared" si="6"/>
        <v>2450</v>
      </c>
      <c r="E16" s="27">
        <f t="shared" si="6"/>
        <v>-1250</v>
      </c>
      <c r="F16" s="28">
        <f t="shared" si="5"/>
        <v>-1.041666667</v>
      </c>
      <c r="G16" s="29"/>
    </row>
    <row r="17" ht="15.0" customHeight="1">
      <c r="A17" s="13"/>
      <c r="B17" s="14" t="s">
        <v>45</v>
      </c>
      <c r="C17" s="15"/>
      <c r="D17" s="15"/>
      <c r="E17" s="15"/>
      <c r="F17" s="15"/>
      <c r="G17" s="16"/>
    </row>
    <row r="18">
      <c r="A18" s="13"/>
      <c r="B18" s="31" t="s">
        <v>46</v>
      </c>
      <c r="C18" s="18">
        <v>3000.0</v>
      </c>
      <c r="D18" s="19">
        <v>0.0</v>
      </c>
      <c r="E18" s="20">
        <f t="shared" ref="E18:E20" si="7">C18-D18</f>
        <v>3000</v>
      </c>
      <c r="F18" s="21">
        <f t="shared" ref="F18:F21" si="8">IF(C18=0,0,(C18-D18)/C18)</f>
        <v>1</v>
      </c>
      <c r="G18" s="23" t="s">
        <v>47</v>
      </c>
    </row>
    <row r="19" ht="15.75" customHeight="1">
      <c r="A19" s="13"/>
      <c r="B19" s="24" t="s">
        <v>48</v>
      </c>
      <c r="C19" s="19">
        <v>0.0</v>
      </c>
      <c r="D19" s="19">
        <v>0.0</v>
      </c>
      <c r="E19" s="20">
        <f t="shared" si="7"/>
        <v>0</v>
      </c>
      <c r="F19" s="21">
        <f t="shared" si="8"/>
        <v>0</v>
      </c>
      <c r="G19" s="23" t="s">
        <v>49</v>
      </c>
    </row>
    <row r="20" ht="15.75" customHeight="1">
      <c r="A20" s="13"/>
      <c r="B20" s="30" t="s">
        <v>50</v>
      </c>
      <c r="C20" s="19">
        <v>0.0</v>
      </c>
      <c r="D20" s="18">
        <v>1600.0</v>
      </c>
      <c r="E20" s="20">
        <f t="shared" si="7"/>
        <v>-1600</v>
      </c>
      <c r="F20" s="21">
        <f t="shared" si="8"/>
        <v>0</v>
      </c>
      <c r="G20" s="23" t="s">
        <v>51</v>
      </c>
    </row>
    <row r="21" ht="15.75" customHeight="1">
      <c r="A21" s="25"/>
      <c r="B21" s="26" t="s">
        <v>52</v>
      </c>
      <c r="C21" s="27">
        <f t="shared" ref="C21:E21" si="9">SUM(C18:C20)</f>
        <v>3000</v>
      </c>
      <c r="D21" s="27">
        <f t="shared" si="9"/>
        <v>1600</v>
      </c>
      <c r="E21" s="27">
        <f t="shared" si="9"/>
        <v>1400</v>
      </c>
      <c r="F21" s="28">
        <f t="shared" si="8"/>
        <v>0.4666666667</v>
      </c>
      <c r="G21" s="29"/>
    </row>
    <row r="22" ht="15.0" customHeight="1">
      <c r="A22" s="13"/>
      <c r="B22" s="14" t="s">
        <v>53</v>
      </c>
      <c r="C22" s="15"/>
      <c r="D22" s="15"/>
      <c r="E22" s="15"/>
      <c r="F22" s="15"/>
      <c r="G22" s="16"/>
    </row>
    <row r="23" ht="15.75" customHeight="1">
      <c r="A23" s="13"/>
      <c r="B23" s="30" t="s">
        <v>54</v>
      </c>
      <c r="C23" s="18">
        <v>0.0</v>
      </c>
      <c r="D23" s="19">
        <v>0.0</v>
      </c>
      <c r="E23" s="20">
        <f t="shared" ref="E23:E27" si="10">C23-D23</f>
        <v>0</v>
      </c>
      <c r="F23" s="21">
        <f t="shared" ref="F23:F28" si="11">IF(C23=0,0,(C23-D23)/C23)</f>
        <v>0</v>
      </c>
      <c r="G23" s="23"/>
    </row>
    <row r="24" ht="15.75" customHeight="1">
      <c r="A24" s="13"/>
      <c r="B24" s="30" t="s">
        <v>55</v>
      </c>
      <c r="C24" s="19">
        <v>0.0</v>
      </c>
      <c r="D24" s="19">
        <v>280.0</v>
      </c>
      <c r="E24" s="20">
        <f t="shared" si="10"/>
        <v>-280</v>
      </c>
      <c r="F24" s="21">
        <f t="shared" si="11"/>
        <v>0</v>
      </c>
      <c r="G24" s="23" t="s">
        <v>56</v>
      </c>
    </row>
    <row r="25" ht="15.75" customHeight="1">
      <c r="A25" s="13"/>
      <c r="B25" s="30" t="s">
        <v>57</v>
      </c>
      <c r="C25" s="19">
        <v>0.0</v>
      </c>
      <c r="D25" s="19">
        <v>200.0</v>
      </c>
      <c r="E25" s="20">
        <f t="shared" si="10"/>
        <v>-200</v>
      </c>
      <c r="F25" s="21">
        <f t="shared" si="11"/>
        <v>0</v>
      </c>
      <c r="G25" s="23" t="s">
        <v>58</v>
      </c>
    </row>
    <row r="26" ht="15.75" customHeight="1">
      <c r="A26" s="13"/>
      <c r="B26" s="30" t="s">
        <v>59</v>
      </c>
      <c r="C26" s="18">
        <v>1200.0</v>
      </c>
      <c r="D26" s="19">
        <v>0.0</v>
      </c>
      <c r="E26" s="20">
        <f t="shared" si="10"/>
        <v>1200</v>
      </c>
      <c r="F26" s="21">
        <f t="shared" si="11"/>
        <v>1</v>
      </c>
      <c r="G26" s="23"/>
    </row>
    <row r="27" ht="15.75" customHeight="1">
      <c r="A27" s="13"/>
      <c r="B27" s="30" t="s">
        <v>60</v>
      </c>
      <c r="C27" s="19">
        <v>0.0</v>
      </c>
      <c r="D27" s="18">
        <v>0.0</v>
      </c>
      <c r="E27" s="20">
        <f t="shared" si="10"/>
        <v>0</v>
      </c>
      <c r="F27" s="21">
        <f t="shared" si="11"/>
        <v>0</v>
      </c>
      <c r="G27" s="22" t="s">
        <v>61</v>
      </c>
    </row>
    <row r="28" ht="15.75" customHeight="1">
      <c r="A28" s="25"/>
      <c r="B28" s="26" t="s">
        <v>62</v>
      </c>
      <c r="C28" s="27">
        <f t="shared" ref="C28:E28" si="12">SUM(C23:C27)</f>
        <v>1200</v>
      </c>
      <c r="D28" s="27">
        <f t="shared" si="12"/>
        <v>480</v>
      </c>
      <c r="E28" s="27">
        <f t="shared" si="12"/>
        <v>720</v>
      </c>
      <c r="F28" s="28">
        <f t="shared" si="11"/>
        <v>0.6</v>
      </c>
      <c r="G28" s="29"/>
    </row>
    <row r="29" ht="15.0" customHeight="1">
      <c r="A29" s="13"/>
      <c r="B29" s="14" t="s">
        <v>63</v>
      </c>
      <c r="C29" s="15"/>
      <c r="D29" s="15"/>
      <c r="E29" s="15"/>
      <c r="F29" s="15"/>
      <c r="G29" s="16"/>
    </row>
    <row r="30" ht="15.75" customHeight="1">
      <c r="A30" s="13"/>
      <c r="B30" s="30" t="s">
        <v>64</v>
      </c>
      <c r="C30" s="18">
        <v>600.0</v>
      </c>
      <c r="D30" s="18">
        <v>0.0</v>
      </c>
      <c r="E30" s="20">
        <f t="shared" ref="E30:E36" si="13">C30-D30</f>
        <v>600</v>
      </c>
      <c r="F30" s="21">
        <f t="shared" ref="F30:F37" si="14">IF(C30=0,0,(C30-D30)/C30)</f>
        <v>1</v>
      </c>
      <c r="G30" s="23"/>
    </row>
    <row r="31" ht="15.75" customHeight="1">
      <c r="A31" s="13"/>
      <c r="B31" s="30" t="s">
        <v>65</v>
      </c>
      <c r="C31" s="19">
        <v>0.0</v>
      </c>
      <c r="D31" s="18">
        <v>600.0</v>
      </c>
      <c r="E31" s="20">
        <f t="shared" si="13"/>
        <v>-600</v>
      </c>
      <c r="F31" s="21">
        <f t="shared" si="14"/>
        <v>0</v>
      </c>
      <c r="G31" s="23" t="s">
        <v>66</v>
      </c>
    </row>
    <row r="32" ht="15.75" customHeight="1">
      <c r="A32" s="13"/>
      <c r="B32" s="30" t="s">
        <v>67</v>
      </c>
      <c r="C32" s="18">
        <v>0.0</v>
      </c>
      <c r="D32" s="18">
        <v>1000.0</v>
      </c>
      <c r="E32" s="20">
        <f t="shared" si="13"/>
        <v>-1000</v>
      </c>
      <c r="F32" s="21">
        <f t="shared" si="14"/>
        <v>0</v>
      </c>
      <c r="G32" s="23"/>
    </row>
    <row r="33" ht="15.75" customHeight="1">
      <c r="A33" s="13"/>
      <c r="B33" s="30" t="s">
        <v>68</v>
      </c>
      <c r="C33" s="19">
        <v>0.0</v>
      </c>
      <c r="D33" s="18">
        <v>0.0</v>
      </c>
      <c r="E33" s="20">
        <f t="shared" si="13"/>
        <v>0</v>
      </c>
      <c r="F33" s="21">
        <f t="shared" si="14"/>
        <v>0</v>
      </c>
      <c r="G33" s="23"/>
    </row>
    <row r="34" ht="15.75" customHeight="1">
      <c r="A34" s="13"/>
      <c r="B34" s="30" t="s">
        <v>69</v>
      </c>
      <c r="C34" s="19">
        <v>0.0</v>
      </c>
      <c r="D34" s="18">
        <v>0.0</v>
      </c>
      <c r="E34" s="20">
        <f t="shared" si="13"/>
        <v>0</v>
      </c>
      <c r="F34" s="21">
        <f t="shared" si="14"/>
        <v>0</v>
      </c>
      <c r="G34" s="23"/>
    </row>
    <row r="35" ht="15.75" customHeight="1">
      <c r="A35" s="13"/>
      <c r="B35" s="30" t="s">
        <v>70</v>
      </c>
      <c r="C35" s="19">
        <v>0.0</v>
      </c>
      <c r="D35" s="18">
        <v>0.0</v>
      </c>
      <c r="E35" s="20">
        <f t="shared" si="13"/>
        <v>0</v>
      </c>
      <c r="F35" s="21">
        <f t="shared" si="14"/>
        <v>0</v>
      </c>
      <c r="G35" s="23" t="s">
        <v>71</v>
      </c>
    </row>
    <row r="36" ht="15.75" customHeight="1">
      <c r="A36" s="13"/>
      <c r="B36" s="30" t="s">
        <v>72</v>
      </c>
      <c r="C36" s="19">
        <v>0.0</v>
      </c>
      <c r="D36" s="19">
        <v>0.0</v>
      </c>
      <c r="E36" s="20">
        <f t="shared" si="13"/>
        <v>0</v>
      </c>
      <c r="F36" s="21">
        <f t="shared" si="14"/>
        <v>0</v>
      </c>
      <c r="G36" s="23" t="s">
        <v>73</v>
      </c>
    </row>
    <row r="37" ht="15.75" customHeight="1">
      <c r="A37" s="25"/>
      <c r="B37" s="26" t="s">
        <v>74</v>
      </c>
      <c r="C37" s="27">
        <f t="shared" ref="C37:E37" si="15">SUM(C30:C36)</f>
        <v>600</v>
      </c>
      <c r="D37" s="27">
        <f t="shared" si="15"/>
        <v>1600</v>
      </c>
      <c r="E37" s="27">
        <f t="shared" si="15"/>
        <v>-1000</v>
      </c>
      <c r="F37" s="28">
        <f t="shared" si="14"/>
        <v>-1.666666667</v>
      </c>
      <c r="G37" s="29"/>
    </row>
    <row r="38" ht="15.0" customHeight="1">
      <c r="A38" s="13"/>
      <c r="B38" s="14" t="s">
        <v>75</v>
      </c>
      <c r="C38" s="15"/>
      <c r="D38" s="15"/>
      <c r="E38" s="15"/>
      <c r="F38" s="15"/>
      <c r="G38" s="16"/>
    </row>
    <row r="39" ht="15.75" customHeight="1">
      <c r="A39" s="13"/>
      <c r="B39" s="32" t="s">
        <v>76</v>
      </c>
      <c r="C39" s="18">
        <v>4350.0</v>
      </c>
      <c r="D39" s="19">
        <v>0.0</v>
      </c>
      <c r="E39" s="20">
        <f t="shared" ref="E39:E44" si="16">C39-D39</f>
        <v>4350</v>
      </c>
      <c r="F39" s="21">
        <f t="shared" ref="F39:F45" si="17">IF(C39=0,0,(C39-D39)/C39)</f>
        <v>1</v>
      </c>
      <c r="G39" s="23"/>
    </row>
    <row r="40" ht="15.75" customHeight="1">
      <c r="A40" s="13"/>
      <c r="B40" s="33" t="s">
        <v>77</v>
      </c>
      <c r="C40" s="19">
        <v>0.0</v>
      </c>
      <c r="D40" s="18">
        <v>0.0</v>
      </c>
      <c r="E40" s="20">
        <f t="shared" si="16"/>
        <v>0</v>
      </c>
      <c r="F40" s="21">
        <f t="shared" si="17"/>
        <v>0</v>
      </c>
      <c r="G40" s="23" t="s">
        <v>78</v>
      </c>
    </row>
    <row r="41" ht="15.75" customHeight="1">
      <c r="A41" s="13"/>
      <c r="B41" s="30" t="s">
        <v>79</v>
      </c>
      <c r="C41" s="19">
        <v>350.0</v>
      </c>
      <c r="D41" s="19">
        <v>0.0</v>
      </c>
      <c r="E41" s="20">
        <f t="shared" si="16"/>
        <v>350</v>
      </c>
      <c r="F41" s="21">
        <f t="shared" si="17"/>
        <v>1</v>
      </c>
      <c r="G41" s="23"/>
    </row>
    <row r="42" ht="15.75" customHeight="1">
      <c r="A42" s="13"/>
      <c r="B42" s="30" t="s">
        <v>80</v>
      </c>
      <c r="C42" s="19">
        <v>0.0</v>
      </c>
      <c r="D42" s="19">
        <v>280.0</v>
      </c>
      <c r="E42" s="20">
        <f t="shared" si="16"/>
        <v>-280</v>
      </c>
      <c r="F42" s="21">
        <f t="shared" si="17"/>
        <v>0</v>
      </c>
      <c r="G42" s="23" t="s">
        <v>81</v>
      </c>
    </row>
    <row r="43" ht="15.75" customHeight="1">
      <c r="A43" s="13"/>
      <c r="B43" s="30" t="s">
        <v>82</v>
      </c>
      <c r="C43" s="19">
        <v>0.0</v>
      </c>
      <c r="D43" s="19">
        <v>40.0</v>
      </c>
      <c r="E43" s="20">
        <f t="shared" si="16"/>
        <v>-40</v>
      </c>
      <c r="F43" s="21">
        <f t="shared" si="17"/>
        <v>0</v>
      </c>
      <c r="G43" s="23" t="s">
        <v>83</v>
      </c>
    </row>
    <row r="44" ht="15.75" customHeight="1">
      <c r="A44" s="13"/>
      <c r="B44" s="30" t="s">
        <v>84</v>
      </c>
      <c r="C44" s="19">
        <v>0.0</v>
      </c>
      <c r="D44" s="19">
        <v>25.0</v>
      </c>
      <c r="E44" s="20">
        <f t="shared" si="16"/>
        <v>-25</v>
      </c>
      <c r="F44" s="21">
        <f t="shared" si="17"/>
        <v>0</v>
      </c>
      <c r="G44" s="23"/>
    </row>
    <row r="45" ht="15.75" customHeight="1">
      <c r="A45" s="25"/>
      <c r="B45" s="26" t="s">
        <v>85</v>
      </c>
      <c r="C45" s="27">
        <f t="shared" ref="C45:E45" si="18">SUM(C39:C44)</f>
        <v>4700</v>
      </c>
      <c r="D45" s="27">
        <f t="shared" si="18"/>
        <v>345</v>
      </c>
      <c r="E45" s="27">
        <f t="shared" si="18"/>
        <v>4355</v>
      </c>
      <c r="F45" s="28">
        <f t="shared" si="17"/>
        <v>0.9265957447</v>
      </c>
      <c r="G45" s="29"/>
    </row>
    <row r="46" ht="15.0" customHeight="1">
      <c r="A46" s="13"/>
      <c r="B46" s="14" t="s">
        <v>86</v>
      </c>
      <c r="C46" s="15"/>
      <c r="D46" s="15"/>
      <c r="E46" s="15"/>
      <c r="F46" s="15"/>
      <c r="G46" s="16"/>
    </row>
    <row r="47" ht="15.75" customHeight="1">
      <c r="A47" s="13"/>
      <c r="B47" s="17" t="s">
        <v>87</v>
      </c>
      <c r="C47" s="19">
        <v>3500.0</v>
      </c>
      <c r="D47" s="19">
        <v>0.0</v>
      </c>
      <c r="E47" s="20">
        <f t="shared" ref="E47:E50" si="19">C47-D47</f>
        <v>3500</v>
      </c>
      <c r="F47" s="21">
        <f t="shared" ref="F47:F51" si="20">IF(C47=0,0,(C47-D47)/C47)</f>
        <v>1</v>
      </c>
      <c r="G47" s="23" t="s">
        <v>88</v>
      </c>
    </row>
    <row r="48" ht="15.75" customHeight="1">
      <c r="A48" s="13"/>
      <c r="B48" s="17" t="s">
        <v>89</v>
      </c>
      <c r="C48" s="19">
        <v>2800.0</v>
      </c>
      <c r="D48" s="19">
        <v>0.0</v>
      </c>
      <c r="E48" s="20">
        <f t="shared" si="19"/>
        <v>2800</v>
      </c>
      <c r="F48" s="21">
        <f t="shared" si="20"/>
        <v>1</v>
      </c>
      <c r="G48" s="23" t="s">
        <v>90</v>
      </c>
    </row>
    <row r="49" ht="15.75" customHeight="1">
      <c r="A49" s="13"/>
      <c r="B49" s="17" t="s">
        <v>91</v>
      </c>
      <c r="C49" s="19">
        <v>800.0</v>
      </c>
      <c r="D49" s="19">
        <v>0.0</v>
      </c>
      <c r="E49" s="20">
        <f t="shared" si="19"/>
        <v>800</v>
      </c>
      <c r="F49" s="21">
        <f t="shared" si="20"/>
        <v>1</v>
      </c>
      <c r="G49" s="23" t="s">
        <v>92</v>
      </c>
    </row>
    <row r="50" ht="15.75" customHeight="1">
      <c r="A50" s="13"/>
      <c r="B50" s="17" t="s">
        <v>93</v>
      </c>
      <c r="C50" s="19">
        <v>600.0</v>
      </c>
      <c r="D50" s="19">
        <v>0.0</v>
      </c>
      <c r="E50" s="20">
        <f t="shared" si="19"/>
        <v>600</v>
      </c>
      <c r="F50" s="21">
        <f t="shared" si="20"/>
        <v>1</v>
      </c>
      <c r="G50" s="23" t="s">
        <v>94</v>
      </c>
    </row>
    <row r="51" ht="15.75" customHeight="1">
      <c r="A51" s="25"/>
      <c r="B51" s="26" t="s">
        <v>95</v>
      </c>
      <c r="C51" s="27">
        <f t="shared" ref="C51:E51" si="21">SUM(C47:C50)</f>
        <v>7700</v>
      </c>
      <c r="D51" s="27">
        <f t="shared" si="21"/>
        <v>0</v>
      </c>
      <c r="E51" s="27">
        <f t="shared" si="21"/>
        <v>7700</v>
      </c>
      <c r="F51" s="28">
        <f t="shared" si="20"/>
        <v>1</v>
      </c>
      <c r="G51" s="29"/>
    </row>
    <row r="52" ht="15.75" customHeight="1"/>
    <row r="53" ht="15.75" customHeight="1">
      <c r="A53" s="34"/>
      <c r="B53" s="35" t="s">
        <v>96</v>
      </c>
      <c r="C53" s="36">
        <f t="shared" ref="C53:E53" si="22">C10+C16+C21+C28+C37+C45+C51</f>
        <v>52600</v>
      </c>
      <c r="D53" s="36">
        <f t="shared" si="22"/>
        <v>7805</v>
      </c>
      <c r="E53" s="36">
        <f t="shared" si="22"/>
        <v>44795</v>
      </c>
      <c r="F53" s="37">
        <f>IF(C53=0,0,(C53-D53)/C53)</f>
        <v>0.8516159696</v>
      </c>
      <c r="G53" s="34"/>
    </row>
    <row r="54" ht="15.75" customHeight="1"/>
    <row r="55" ht="15.75" customHeight="1">
      <c r="B55" s="38" t="s">
        <v>97</v>
      </c>
    </row>
    <row r="56" ht="15.75" customHeight="1">
      <c r="B56" s="3" t="s">
        <v>98</v>
      </c>
      <c r="C56" s="39">
        <f>C53*12</f>
        <v>631200</v>
      </c>
    </row>
    <row r="57" ht="15.75" customHeight="1">
      <c r="B57" s="3" t="s">
        <v>99</v>
      </c>
      <c r="C57" s="39">
        <f>D53*12</f>
        <v>93660</v>
      </c>
    </row>
    <row r="58" ht="15.75" customHeight="1">
      <c r="B58" s="3" t="s">
        <v>100</v>
      </c>
      <c r="C58" s="5">
        <f>E53*12</f>
        <v>537540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0">
    <mergeCell ref="B38:G38"/>
    <mergeCell ref="B46:G46"/>
    <mergeCell ref="B55:G55"/>
    <mergeCell ref="B1:G1"/>
    <mergeCell ref="B2:G2"/>
    <mergeCell ref="B5:G5"/>
    <mergeCell ref="B11:G11"/>
    <mergeCell ref="B17:G17"/>
    <mergeCell ref="B22:G22"/>
    <mergeCell ref="B29:G2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100"/>
    <pageSetUpPr/>
  </sheetPr>
  <sheetViews>
    <sheetView workbookViewId="0"/>
  </sheetViews>
  <sheetFormatPr customHeight="1" defaultColWidth="14.43" defaultRowHeight="15.0"/>
  <cols>
    <col customWidth="1" min="1" max="1" width="59.14"/>
    <col customWidth="1" min="2" max="2" width="91.57"/>
    <col customWidth="1" min="3" max="23" width="8.71"/>
  </cols>
  <sheetData>
    <row r="1">
      <c r="A1" s="40" t="s">
        <v>101</v>
      </c>
    </row>
    <row r="2">
      <c r="A2" s="2" t="s">
        <v>102</v>
      </c>
    </row>
    <row r="4">
      <c r="A4" s="41" t="s">
        <v>103</v>
      </c>
      <c r="B4" s="41" t="s">
        <v>104</v>
      </c>
    </row>
    <row r="5">
      <c r="A5" s="42" t="s">
        <v>105</v>
      </c>
      <c r="B5" s="23" t="s">
        <v>106</v>
      </c>
    </row>
    <row r="6">
      <c r="A6" s="42" t="s">
        <v>107</v>
      </c>
      <c r="B6" s="23" t="s">
        <v>108</v>
      </c>
    </row>
    <row r="7">
      <c r="A7" s="42" t="s">
        <v>109</v>
      </c>
      <c r="B7" s="23" t="s">
        <v>110</v>
      </c>
    </row>
    <row r="8">
      <c r="A8" s="42" t="s">
        <v>111</v>
      </c>
      <c r="B8" s="22" t="s">
        <v>112</v>
      </c>
    </row>
    <row r="9">
      <c r="A9" s="42" t="s">
        <v>113</v>
      </c>
      <c r="B9" s="23" t="s">
        <v>114</v>
      </c>
    </row>
    <row r="10">
      <c r="A10" s="42" t="s">
        <v>115</v>
      </c>
      <c r="B10" s="23" t="s">
        <v>116</v>
      </c>
    </row>
    <row r="11">
      <c r="A11" s="42" t="s">
        <v>117</v>
      </c>
      <c r="B11" s="23" t="s">
        <v>118</v>
      </c>
    </row>
    <row r="12">
      <c r="A12" s="42" t="s">
        <v>119</v>
      </c>
      <c r="B12" s="23" t="s">
        <v>120</v>
      </c>
    </row>
    <row r="13">
      <c r="A13" s="42" t="s">
        <v>121</v>
      </c>
      <c r="B13" s="23" t="s">
        <v>122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B1"/>
    <mergeCell ref="A2:B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.0"/>
    <col customWidth="1" min="2" max="2" width="44.0"/>
    <col customWidth="1" min="3" max="3" width="16.0"/>
    <col customWidth="1" min="4" max="4" width="14.0"/>
    <col customWidth="1" min="5" max="5" width="18.0"/>
    <col customWidth="1" min="6" max="6" width="42.0"/>
    <col customWidth="1" min="7" max="26" width="8.71"/>
  </cols>
  <sheetData>
    <row r="1">
      <c r="B1" s="11" t="s">
        <v>123</v>
      </c>
    </row>
    <row r="2">
      <c r="B2" s="2" t="s">
        <v>124</v>
      </c>
    </row>
    <row r="4">
      <c r="A4" s="12"/>
      <c r="B4" s="12" t="s">
        <v>125</v>
      </c>
      <c r="C4" s="12" t="s">
        <v>126</v>
      </c>
      <c r="D4" s="12" t="s">
        <v>127</v>
      </c>
      <c r="E4" s="12" t="s">
        <v>128</v>
      </c>
      <c r="F4" s="12" t="s">
        <v>129</v>
      </c>
    </row>
    <row r="5">
      <c r="A5" s="13"/>
      <c r="B5" s="30" t="s">
        <v>130</v>
      </c>
      <c r="C5" s="19">
        <v>6000.0</v>
      </c>
      <c r="D5" s="43">
        <v>48.0</v>
      </c>
      <c r="E5" s="20">
        <f t="shared" ref="E5:E15" si="1">C5</f>
        <v>6000</v>
      </c>
      <c r="F5" s="23" t="s">
        <v>131</v>
      </c>
    </row>
    <row r="6">
      <c r="A6" s="13"/>
      <c r="B6" s="30" t="s">
        <v>132</v>
      </c>
      <c r="C6" s="19">
        <v>15000.0</v>
      </c>
      <c r="D6" s="43">
        <v>120.0</v>
      </c>
      <c r="E6" s="20">
        <f t="shared" si="1"/>
        <v>15000</v>
      </c>
      <c r="F6" s="23" t="s">
        <v>133</v>
      </c>
    </row>
    <row r="7">
      <c r="A7" s="13"/>
      <c r="B7" s="30" t="s">
        <v>134</v>
      </c>
      <c r="C7" s="19">
        <v>8000.0</v>
      </c>
      <c r="D7" s="43">
        <v>64.0</v>
      </c>
      <c r="E7" s="20">
        <f t="shared" si="1"/>
        <v>8000</v>
      </c>
      <c r="F7" s="23" t="s">
        <v>135</v>
      </c>
    </row>
    <row r="8">
      <c r="A8" s="13"/>
      <c r="B8" s="30" t="s">
        <v>136</v>
      </c>
      <c r="C8" s="19">
        <v>12000.0</v>
      </c>
      <c r="D8" s="43">
        <v>96.0</v>
      </c>
      <c r="E8" s="20">
        <f t="shared" si="1"/>
        <v>12000</v>
      </c>
      <c r="F8" s="23" t="s">
        <v>137</v>
      </c>
    </row>
    <row r="9">
      <c r="A9" s="13"/>
      <c r="B9" s="30" t="s">
        <v>138</v>
      </c>
      <c r="C9" s="19">
        <v>3000.0</v>
      </c>
      <c r="D9" s="43">
        <v>24.0</v>
      </c>
      <c r="E9" s="20">
        <f t="shared" si="1"/>
        <v>3000</v>
      </c>
      <c r="F9" s="23" t="s">
        <v>139</v>
      </c>
    </row>
    <row r="10">
      <c r="A10" s="13"/>
      <c r="B10" s="30" t="s">
        <v>140</v>
      </c>
      <c r="C10" s="19">
        <v>2000.0</v>
      </c>
      <c r="D10" s="43">
        <v>16.0</v>
      </c>
      <c r="E10" s="20">
        <f t="shared" si="1"/>
        <v>2000</v>
      </c>
      <c r="F10" s="23" t="s">
        <v>141</v>
      </c>
    </row>
    <row r="11">
      <c r="A11" s="13"/>
      <c r="B11" s="30" t="s">
        <v>142</v>
      </c>
      <c r="C11" s="19">
        <v>4000.0</v>
      </c>
      <c r="D11" s="43">
        <v>32.0</v>
      </c>
      <c r="E11" s="20">
        <f t="shared" si="1"/>
        <v>4000</v>
      </c>
      <c r="F11" s="23" t="s">
        <v>143</v>
      </c>
    </row>
    <row r="12">
      <c r="A12" s="13"/>
      <c r="B12" s="30" t="s">
        <v>144</v>
      </c>
      <c r="C12" s="19">
        <v>1500.0</v>
      </c>
      <c r="D12" s="43">
        <v>12.0</v>
      </c>
      <c r="E12" s="20">
        <f t="shared" si="1"/>
        <v>1500</v>
      </c>
      <c r="F12" s="23" t="s">
        <v>145</v>
      </c>
    </row>
    <row r="13">
      <c r="A13" s="13"/>
      <c r="B13" s="30" t="s">
        <v>146</v>
      </c>
      <c r="C13" s="19">
        <v>2000.0</v>
      </c>
      <c r="D13" s="43">
        <v>16.0</v>
      </c>
      <c r="E13" s="20">
        <f t="shared" si="1"/>
        <v>2000</v>
      </c>
      <c r="F13" s="23" t="s">
        <v>147</v>
      </c>
    </row>
    <row r="14">
      <c r="A14" s="13"/>
      <c r="B14" s="30" t="s">
        <v>148</v>
      </c>
      <c r="C14" s="19">
        <v>5000.0</v>
      </c>
      <c r="D14" s="43">
        <v>40.0</v>
      </c>
      <c r="E14" s="20">
        <f t="shared" si="1"/>
        <v>5000</v>
      </c>
      <c r="F14" s="23" t="s">
        <v>149</v>
      </c>
    </row>
    <row r="15">
      <c r="A15" s="13"/>
      <c r="B15" s="30" t="s">
        <v>150</v>
      </c>
      <c r="C15" s="19">
        <v>3000.0</v>
      </c>
      <c r="D15" s="43">
        <v>24.0</v>
      </c>
      <c r="E15" s="20">
        <f t="shared" si="1"/>
        <v>3000</v>
      </c>
      <c r="F15" s="23" t="s">
        <v>151</v>
      </c>
    </row>
    <row r="16">
      <c r="A16" s="13"/>
      <c r="B16" s="30" t="s">
        <v>152</v>
      </c>
      <c r="C16" s="19">
        <v>0.0</v>
      </c>
      <c r="D16" s="43">
        <v>0.0</v>
      </c>
      <c r="E16" s="20">
        <f>SUM(E5:E15)*0.15</f>
        <v>9225</v>
      </c>
      <c r="F16" s="23" t="s">
        <v>153</v>
      </c>
    </row>
    <row r="17">
      <c r="A17" s="34"/>
      <c r="B17" s="35" t="s">
        <v>154</v>
      </c>
      <c r="C17" s="34"/>
      <c r="D17" s="44">
        <f t="shared" ref="D17:E17" si="2">SUM(D5:D16)</f>
        <v>492</v>
      </c>
      <c r="E17" s="36">
        <f t="shared" si="2"/>
        <v>70725</v>
      </c>
      <c r="F17" s="34"/>
    </row>
    <row r="19">
      <c r="B19" s="9" t="s">
        <v>155</v>
      </c>
    </row>
    <row r="20">
      <c r="B20" s="45" t="s">
        <v>4</v>
      </c>
      <c r="C20" s="5">
        <f>'Comparativo Mensal'!E53</f>
        <v>44795</v>
      </c>
    </row>
    <row r="21" ht="15.75" customHeight="1">
      <c r="B21" s="45" t="s">
        <v>8</v>
      </c>
      <c r="C21" s="46">
        <f>IF(C20=0,"N/A",CEILING(E17/C20,1))</f>
        <v>2</v>
      </c>
    </row>
    <row r="22" ht="15.75" customHeight="1">
      <c r="B22" s="45" t="s">
        <v>9</v>
      </c>
      <c r="C22" s="47">
        <f>IF(E17=0,0,(C20*12-E17)/E17)</f>
        <v>6.600424178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F1"/>
    <mergeCell ref="B2:F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2026-06-15T01:22:49Z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